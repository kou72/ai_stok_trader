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zuk\work\ai_stok_trader\data\"/>
    </mc:Choice>
  </mc:AlternateContent>
  <xr:revisionPtr revIDLastSave="0" documentId="13_ncr:1_{8EEBCE6B-AEA8-44B1-9333-1D2B26A60EFE}" xr6:coauthVersionLast="47" xr6:coauthVersionMax="47" xr10:uidLastSave="{00000000-0000-0000-0000-000000000000}"/>
  <bookViews>
    <workbookView xWindow="-108" yWindow="-108" windowWidth="23256" windowHeight="13896" activeTab="1" xr2:uid="{E626B901-5731-4689-8847-77711759DA87}"/>
  </bookViews>
  <sheets>
    <sheet name="400_j_pdf" sheetId="7" r:id="rId1"/>
    <sheet name="JPX日経400" sheetId="3" r:id="rId2"/>
  </sheets>
  <definedNames>
    <definedName name="ExternalData_1" localSheetId="0" hidden="1">'400_j_pdf'!$A$1:$F$400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D3" i="3" s="1"/>
  <c r="A4" i="3"/>
  <c r="D4" i="3" s="1"/>
  <c r="A5" i="3"/>
  <c r="D5" i="3" s="1"/>
  <c r="A6" i="3"/>
  <c r="D6" i="3" s="1"/>
  <c r="A7" i="3"/>
  <c r="D7" i="3" s="1"/>
  <c r="A8" i="3"/>
  <c r="D8" i="3" s="1"/>
  <c r="A9" i="3"/>
  <c r="D9" i="3" s="1"/>
  <c r="A10" i="3"/>
  <c r="D10" i="3" s="1"/>
  <c r="A11" i="3"/>
  <c r="D11" i="3" s="1"/>
  <c r="A12" i="3"/>
  <c r="D12" i="3" s="1"/>
  <c r="A13" i="3"/>
  <c r="D13" i="3" s="1"/>
  <c r="A14" i="3"/>
  <c r="D14" i="3" s="1"/>
  <c r="A15" i="3"/>
  <c r="D15" i="3" s="1"/>
  <c r="A16" i="3"/>
  <c r="D16" i="3" s="1"/>
  <c r="A17" i="3"/>
  <c r="D17" i="3" s="1"/>
  <c r="A18" i="3"/>
  <c r="D18" i="3" s="1"/>
  <c r="A19" i="3"/>
  <c r="D19" i="3" s="1"/>
  <c r="A20" i="3"/>
  <c r="D20" i="3" s="1"/>
  <c r="A21" i="3"/>
  <c r="D21" i="3" s="1"/>
  <c r="A22" i="3"/>
  <c r="D22" i="3" s="1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36" i="3"/>
  <c r="D36" i="3" s="1"/>
  <c r="A37" i="3"/>
  <c r="D37" i="3" s="1"/>
  <c r="A38" i="3"/>
  <c r="D38" i="3" s="1"/>
  <c r="A39" i="3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A47" i="3"/>
  <c r="D47" i="3" s="1"/>
  <c r="A48" i="3"/>
  <c r="D48" i="3" s="1"/>
  <c r="A49" i="3"/>
  <c r="D49" i="3" s="1"/>
  <c r="A50" i="3"/>
  <c r="D50" i="3" s="1"/>
  <c r="A51" i="3"/>
  <c r="D51" i="3" s="1"/>
  <c r="A52" i="3"/>
  <c r="D52" i="3" s="1"/>
  <c r="A53" i="3"/>
  <c r="D53" i="3" s="1"/>
  <c r="A54" i="3"/>
  <c r="D54" i="3" s="1"/>
  <c r="A55" i="3"/>
  <c r="D55" i="3" s="1"/>
  <c r="A56" i="3"/>
  <c r="D56" i="3" s="1"/>
  <c r="A57" i="3"/>
  <c r="D57" i="3" s="1"/>
  <c r="A58" i="3"/>
  <c r="D58" i="3" s="1"/>
  <c r="A59" i="3"/>
  <c r="D59" i="3" s="1"/>
  <c r="A60" i="3"/>
  <c r="D60" i="3" s="1"/>
  <c r="A61" i="3"/>
  <c r="D61" i="3" s="1"/>
  <c r="A62" i="3"/>
  <c r="D62" i="3" s="1"/>
  <c r="A63" i="3"/>
  <c r="D63" i="3" s="1"/>
  <c r="A64" i="3"/>
  <c r="D64" i="3" s="1"/>
  <c r="A65" i="3"/>
  <c r="D65" i="3" s="1"/>
  <c r="A66" i="3"/>
  <c r="D66" i="3" s="1"/>
  <c r="A67" i="3"/>
  <c r="D67" i="3" s="1"/>
  <c r="A68" i="3"/>
  <c r="D68" i="3" s="1"/>
  <c r="A69" i="3"/>
  <c r="D69" i="3" s="1"/>
  <c r="A70" i="3"/>
  <c r="D70" i="3" s="1"/>
  <c r="A71" i="3"/>
  <c r="D71" i="3" s="1"/>
  <c r="A72" i="3"/>
  <c r="D72" i="3" s="1"/>
  <c r="A73" i="3"/>
  <c r="D73" i="3" s="1"/>
  <c r="A74" i="3"/>
  <c r="D74" i="3" s="1"/>
  <c r="A75" i="3"/>
  <c r="D75" i="3" s="1"/>
  <c r="A76" i="3"/>
  <c r="D76" i="3" s="1"/>
  <c r="A77" i="3"/>
  <c r="D77" i="3" s="1"/>
  <c r="A78" i="3"/>
  <c r="D78" i="3" s="1"/>
  <c r="A79" i="3"/>
  <c r="D79" i="3" s="1"/>
  <c r="A80" i="3"/>
  <c r="D80" i="3" s="1"/>
  <c r="A81" i="3"/>
  <c r="D81" i="3" s="1"/>
  <c r="A82" i="3"/>
  <c r="D82" i="3" s="1"/>
  <c r="A83" i="3"/>
  <c r="D83" i="3" s="1"/>
  <c r="A84" i="3"/>
  <c r="D84" i="3" s="1"/>
  <c r="A85" i="3"/>
  <c r="D85" i="3" s="1"/>
  <c r="A86" i="3"/>
  <c r="D86" i="3" s="1"/>
  <c r="A87" i="3"/>
  <c r="D87" i="3" s="1"/>
  <c r="A88" i="3"/>
  <c r="D88" i="3" s="1"/>
  <c r="A89" i="3"/>
  <c r="D89" i="3" s="1"/>
  <c r="A90" i="3"/>
  <c r="D90" i="3" s="1"/>
  <c r="A91" i="3"/>
  <c r="D91" i="3" s="1"/>
  <c r="A92" i="3"/>
  <c r="D92" i="3" s="1"/>
  <c r="A93" i="3"/>
  <c r="D93" i="3" s="1"/>
  <c r="A94" i="3"/>
  <c r="D94" i="3" s="1"/>
  <c r="A95" i="3"/>
  <c r="D95" i="3" s="1"/>
  <c r="A96" i="3"/>
  <c r="D96" i="3" s="1"/>
  <c r="A97" i="3"/>
  <c r="D97" i="3" s="1"/>
  <c r="A98" i="3"/>
  <c r="D98" i="3" s="1"/>
  <c r="A99" i="3"/>
  <c r="D99" i="3" s="1"/>
  <c r="A100" i="3"/>
  <c r="D100" i="3" s="1"/>
  <c r="A101" i="3"/>
  <c r="D101" i="3" s="1"/>
  <c r="A102" i="3"/>
  <c r="D102" i="3" s="1"/>
  <c r="A103" i="3"/>
  <c r="D103" i="3" s="1"/>
  <c r="A104" i="3"/>
  <c r="D104" i="3" s="1"/>
  <c r="A105" i="3"/>
  <c r="D105" i="3" s="1"/>
  <c r="A106" i="3"/>
  <c r="D106" i="3" s="1"/>
  <c r="A107" i="3"/>
  <c r="D107" i="3" s="1"/>
  <c r="A108" i="3"/>
  <c r="D108" i="3" s="1"/>
  <c r="A109" i="3"/>
  <c r="D109" i="3" s="1"/>
  <c r="A110" i="3"/>
  <c r="D110" i="3" s="1"/>
  <c r="A111" i="3"/>
  <c r="D111" i="3" s="1"/>
  <c r="A112" i="3"/>
  <c r="D112" i="3" s="1"/>
  <c r="A113" i="3"/>
  <c r="D113" i="3" s="1"/>
  <c r="A114" i="3"/>
  <c r="D114" i="3" s="1"/>
  <c r="A115" i="3"/>
  <c r="D115" i="3" s="1"/>
  <c r="A116" i="3"/>
  <c r="D116" i="3" s="1"/>
  <c r="A117" i="3"/>
  <c r="D117" i="3" s="1"/>
  <c r="A118" i="3"/>
  <c r="D118" i="3" s="1"/>
  <c r="A119" i="3"/>
  <c r="D119" i="3" s="1"/>
  <c r="A120" i="3"/>
  <c r="D120" i="3" s="1"/>
  <c r="A121" i="3"/>
  <c r="D121" i="3" s="1"/>
  <c r="A122" i="3"/>
  <c r="D122" i="3" s="1"/>
  <c r="A123" i="3"/>
  <c r="D123" i="3" s="1"/>
  <c r="A124" i="3"/>
  <c r="D124" i="3" s="1"/>
  <c r="A125" i="3"/>
  <c r="D125" i="3" s="1"/>
  <c r="A126" i="3"/>
  <c r="D126" i="3" s="1"/>
  <c r="A127" i="3"/>
  <c r="D127" i="3" s="1"/>
  <c r="A128" i="3"/>
  <c r="D128" i="3" s="1"/>
  <c r="A129" i="3"/>
  <c r="D129" i="3" s="1"/>
  <c r="A130" i="3"/>
  <c r="D130" i="3" s="1"/>
  <c r="A131" i="3"/>
  <c r="D131" i="3" s="1"/>
  <c r="A132" i="3"/>
  <c r="D132" i="3" s="1"/>
  <c r="A133" i="3"/>
  <c r="D133" i="3" s="1"/>
  <c r="A134" i="3"/>
  <c r="D134" i="3" s="1"/>
  <c r="A135" i="3"/>
  <c r="D135" i="3" s="1"/>
  <c r="A136" i="3"/>
  <c r="D136" i="3" s="1"/>
  <c r="A137" i="3"/>
  <c r="D137" i="3" s="1"/>
  <c r="A138" i="3"/>
  <c r="D138" i="3" s="1"/>
  <c r="A139" i="3"/>
  <c r="D139" i="3" s="1"/>
  <c r="A140" i="3"/>
  <c r="D140" i="3" s="1"/>
  <c r="A141" i="3"/>
  <c r="D141" i="3" s="1"/>
  <c r="A142" i="3"/>
  <c r="D142" i="3" s="1"/>
  <c r="A143" i="3"/>
  <c r="D143" i="3" s="1"/>
  <c r="A144" i="3"/>
  <c r="D144" i="3" s="1"/>
  <c r="A145" i="3"/>
  <c r="D145" i="3" s="1"/>
  <c r="A146" i="3"/>
  <c r="D146" i="3" s="1"/>
  <c r="A147" i="3"/>
  <c r="D147" i="3" s="1"/>
  <c r="A148" i="3"/>
  <c r="D148" i="3" s="1"/>
  <c r="A149" i="3"/>
  <c r="D149" i="3" s="1"/>
  <c r="A150" i="3"/>
  <c r="D150" i="3" s="1"/>
  <c r="A151" i="3"/>
  <c r="D151" i="3" s="1"/>
  <c r="A152" i="3"/>
  <c r="D152" i="3" s="1"/>
  <c r="A153" i="3"/>
  <c r="D153" i="3" s="1"/>
  <c r="A154" i="3"/>
  <c r="D154" i="3" s="1"/>
  <c r="A155" i="3"/>
  <c r="D155" i="3" s="1"/>
  <c r="A156" i="3"/>
  <c r="D156" i="3" s="1"/>
  <c r="A157" i="3"/>
  <c r="D157" i="3" s="1"/>
  <c r="A158" i="3"/>
  <c r="D158" i="3" s="1"/>
  <c r="A159" i="3"/>
  <c r="D159" i="3" s="1"/>
  <c r="A160" i="3"/>
  <c r="D160" i="3" s="1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67" i="3"/>
  <c r="D167" i="3" s="1"/>
  <c r="A168" i="3"/>
  <c r="D168" i="3" s="1"/>
  <c r="A169" i="3"/>
  <c r="D169" i="3" s="1"/>
  <c r="A170" i="3"/>
  <c r="D170" i="3" s="1"/>
  <c r="A171" i="3"/>
  <c r="D171" i="3" s="1"/>
  <c r="A172" i="3"/>
  <c r="D172" i="3" s="1"/>
  <c r="A173" i="3"/>
  <c r="D173" i="3" s="1"/>
  <c r="A174" i="3"/>
  <c r="D174" i="3" s="1"/>
  <c r="A175" i="3"/>
  <c r="D175" i="3" s="1"/>
  <c r="A176" i="3"/>
  <c r="D176" i="3" s="1"/>
  <c r="A177" i="3"/>
  <c r="D177" i="3" s="1"/>
  <c r="A178" i="3"/>
  <c r="D178" i="3" s="1"/>
  <c r="A179" i="3"/>
  <c r="D179" i="3" s="1"/>
  <c r="A180" i="3"/>
  <c r="D180" i="3" s="1"/>
  <c r="A181" i="3"/>
  <c r="D181" i="3" s="1"/>
  <c r="A182" i="3"/>
  <c r="D182" i="3" s="1"/>
  <c r="A183" i="3"/>
  <c r="D183" i="3" s="1"/>
  <c r="A184" i="3"/>
  <c r="D184" i="3" s="1"/>
  <c r="A185" i="3"/>
  <c r="D185" i="3" s="1"/>
  <c r="A186" i="3"/>
  <c r="D186" i="3" s="1"/>
  <c r="A187" i="3"/>
  <c r="D187" i="3" s="1"/>
  <c r="A188" i="3"/>
  <c r="D188" i="3" s="1"/>
  <c r="A189" i="3"/>
  <c r="D189" i="3" s="1"/>
  <c r="A190" i="3"/>
  <c r="D190" i="3" s="1"/>
  <c r="A191" i="3"/>
  <c r="D191" i="3" s="1"/>
  <c r="A192" i="3"/>
  <c r="D192" i="3" s="1"/>
  <c r="A193" i="3"/>
  <c r="D193" i="3" s="1"/>
  <c r="A194" i="3"/>
  <c r="D194" i="3" s="1"/>
  <c r="A195" i="3"/>
  <c r="D195" i="3" s="1"/>
  <c r="A196" i="3"/>
  <c r="D196" i="3" s="1"/>
  <c r="A197" i="3"/>
  <c r="D197" i="3" s="1"/>
  <c r="A198" i="3"/>
  <c r="D198" i="3" s="1"/>
  <c r="A199" i="3"/>
  <c r="D199" i="3" s="1"/>
  <c r="A200" i="3"/>
  <c r="D200" i="3" s="1"/>
  <c r="A201" i="3"/>
  <c r="D201" i="3" s="1"/>
  <c r="A202" i="3"/>
  <c r="D202" i="3" s="1"/>
  <c r="A203" i="3"/>
  <c r="D203" i="3" s="1"/>
  <c r="A204" i="3"/>
  <c r="D204" i="3" s="1"/>
  <c r="A205" i="3"/>
  <c r="D205" i="3" s="1"/>
  <c r="A206" i="3"/>
  <c r="D206" i="3" s="1"/>
  <c r="A207" i="3"/>
  <c r="D207" i="3" s="1"/>
  <c r="A208" i="3"/>
  <c r="D208" i="3" s="1"/>
  <c r="A209" i="3"/>
  <c r="D209" i="3" s="1"/>
  <c r="A210" i="3"/>
  <c r="D210" i="3" s="1"/>
  <c r="A211" i="3"/>
  <c r="D211" i="3" s="1"/>
  <c r="A212" i="3"/>
  <c r="D212" i="3" s="1"/>
  <c r="A213" i="3"/>
  <c r="D213" i="3" s="1"/>
  <c r="A214" i="3"/>
  <c r="D214" i="3" s="1"/>
  <c r="A215" i="3"/>
  <c r="D215" i="3" s="1"/>
  <c r="A216" i="3"/>
  <c r="D216" i="3" s="1"/>
  <c r="A217" i="3"/>
  <c r="D217" i="3" s="1"/>
  <c r="A218" i="3"/>
  <c r="D218" i="3" s="1"/>
  <c r="A219" i="3"/>
  <c r="D219" i="3" s="1"/>
  <c r="A220" i="3"/>
  <c r="D220" i="3" s="1"/>
  <c r="A221" i="3"/>
  <c r="D221" i="3" s="1"/>
  <c r="A222" i="3"/>
  <c r="D222" i="3" s="1"/>
  <c r="A223" i="3"/>
  <c r="D223" i="3" s="1"/>
  <c r="A224" i="3"/>
  <c r="D224" i="3" s="1"/>
  <c r="A225" i="3"/>
  <c r="D225" i="3" s="1"/>
  <c r="A226" i="3"/>
  <c r="D226" i="3" s="1"/>
  <c r="A227" i="3"/>
  <c r="D227" i="3" s="1"/>
  <c r="A228" i="3"/>
  <c r="D228" i="3" s="1"/>
  <c r="A229" i="3"/>
  <c r="D229" i="3" s="1"/>
  <c r="A230" i="3"/>
  <c r="D230" i="3" s="1"/>
  <c r="A231" i="3"/>
  <c r="D231" i="3" s="1"/>
  <c r="A232" i="3"/>
  <c r="D232" i="3" s="1"/>
  <c r="A233" i="3"/>
  <c r="D233" i="3" s="1"/>
  <c r="A234" i="3"/>
  <c r="D234" i="3" s="1"/>
  <c r="A235" i="3"/>
  <c r="D235" i="3" s="1"/>
  <c r="A236" i="3"/>
  <c r="D236" i="3" s="1"/>
  <c r="A237" i="3"/>
  <c r="D237" i="3" s="1"/>
  <c r="A238" i="3"/>
  <c r="D238" i="3" s="1"/>
  <c r="A239" i="3"/>
  <c r="D239" i="3" s="1"/>
  <c r="A240" i="3"/>
  <c r="D240" i="3" s="1"/>
  <c r="A241" i="3"/>
  <c r="D241" i="3" s="1"/>
  <c r="A242" i="3"/>
  <c r="D242" i="3" s="1"/>
  <c r="A243" i="3"/>
  <c r="D243" i="3" s="1"/>
  <c r="A244" i="3"/>
  <c r="D244" i="3" s="1"/>
  <c r="A245" i="3"/>
  <c r="D245" i="3" s="1"/>
  <c r="A246" i="3"/>
  <c r="D246" i="3" s="1"/>
  <c r="A247" i="3"/>
  <c r="D247" i="3" s="1"/>
  <c r="A248" i="3"/>
  <c r="D248" i="3" s="1"/>
  <c r="A249" i="3"/>
  <c r="D249" i="3" s="1"/>
  <c r="A250" i="3"/>
  <c r="D250" i="3" s="1"/>
  <c r="A251" i="3"/>
  <c r="D251" i="3" s="1"/>
  <c r="A252" i="3"/>
  <c r="D252" i="3" s="1"/>
  <c r="A253" i="3"/>
  <c r="D253" i="3" s="1"/>
  <c r="A254" i="3"/>
  <c r="D254" i="3" s="1"/>
  <c r="A255" i="3"/>
  <c r="D255" i="3" s="1"/>
  <c r="A256" i="3"/>
  <c r="D256" i="3" s="1"/>
  <c r="A257" i="3"/>
  <c r="D257" i="3" s="1"/>
  <c r="A258" i="3"/>
  <c r="D258" i="3" s="1"/>
  <c r="A259" i="3"/>
  <c r="D259" i="3" s="1"/>
  <c r="A260" i="3"/>
  <c r="D260" i="3" s="1"/>
  <c r="A261" i="3"/>
  <c r="D261" i="3" s="1"/>
  <c r="A262" i="3"/>
  <c r="D262" i="3" s="1"/>
  <c r="A263" i="3"/>
  <c r="D263" i="3" s="1"/>
  <c r="A264" i="3"/>
  <c r="D264" i="3" s="1"/>
  <c r="A265" i="3"/>
  <c r="D265" i="3" s="1"/>
  <c r="A266" i="3"/>
  <c r="D266" i="3" s="1"/>
  <c r="A267" i="3"/>
  <c r="D267" i="3" s="1"/>
  <c r="A268" i="3"/>
  <c r="D268" i="3" s="1"/>
  <c r="A269" i="3"/>
  <c r="D269" i="3" s="1"/>
  <c r="A270" i="3"/>
  <c r="D270" i="3" s="1"/>
  <c r="A271" i="3"/>
  <c r="D271" i="3" s="1"/>
  <c r="A272" i="3"/>
  <c r="D272" i="3" s="1"/>
  <c r="A273" i="3"/>
  <c r="D273" i="3" s="1"/>
  <c r="A274" i="3"/>
  <c r="D274" i="3" s="1"/>
  <c r="A275" i="3"/>
  <c r="D275" i="3" s="1"/>
  <c r="A276" i="3"/>
  <c r="D276" i="3" s="1"/>
  <c r="A277" i="3"/>
  <c r="D277" i="3" s="1"/>
  <c r="A278" i="3"/>
  <c r="D278" i="3" s="1"/>
  <c r="A279" i="3"/>
  <c r="D279" i="3" s="1"/>
  <c r="A280" i="3"/>
  <c r="D280" i="3" s="1"/>
  <c r="A281" i="3"/>
  <c r="D281" i="3" s="1"/>
  <c r="A282" i="3"/>
  <c r="D282" i="3" s="1"/>
  <c r="A283" i="3"/>
  <c r="D283" i="3" s="1"/>
  <c r="A284" i="3"/>
  <c r="D284" i="3" s="1"/>
  <c r="A285" i="3"/>
  <c r="D285" i="3" s="1"/>
  <c r="A286" i="3"/>
  <c r="D286" i="3" s="1"/>
  <c r="A287" i="3"/>
  <c r="D287" i="3" s="1"/>
  <c r="A288" i="3"/>
  <c r="D288" i="3" s="1"/>
  <c r="A289" i="3"/>
  <c r="D289" i="3" s="1"/>
  <c r="A290" i="3"/>
  <c r="D290" i="3" s="1"/>
  <c r="A291" i="3"/>
  <c r="D291" i="3" s="1"/>
  <c r="A292" i="3"/>
  <c r="D292" i="3" s="1"/>
  <c r="A293" i="3"/>
  <c r="D293" i="3" s="1"/>
  <c r="A294" i="3"/>
  <c r="D294" i="3" s="1"/>
  <c r="A295" i="3"/>
  <c r="D295" i="3" s="1"/>
  <c r="A296" i="3"/>
  <c r="D296" i="3" s="1"/>
  <c r="A297" i="3"/>
  <c r="D297" i="3" s="1"/>
  <c r="A298" i="3"/>
  <c r="D298" i="3" s="1"/>
  <c r="A299" i="3"/>
  <c r="D299" i="3" s="1"/>
  <c r="A300" i="3"/>
  <c r="D300" i="3" s="1"/>
  <c r="A301" i="3"/>
  <c r="D301" i="3" s="1"/>
  <c r="A302" i="3"/>
  <c r="D302" i="3" s="1"/>
  <c r="A303" i="3"/>
  <c r="D303" i="3" s="1"/>
  <c r="A304" i="3"/>
  <c r="D304" i="3" s="1"/>
  <c r="A305" i="3"/>
  <c r="D305" i="3" s="1"/>
  <c r="A306" i="3"/>
  <c r="D306" i="3" s="1"/>
  <c r="A307" i="3"/>
  <c r="D307" i="3" s="1"/>
  <c r="A308" i="3"/>
  <c r="D308" i="3" s="1"/>
  <c r="A309" i="3"/>
  <c r="D309" i="3" s="1"/>
  <c r="A310" i="3"/>
  <c r="D310" i="3" s="1"/>
  <c r="A311" i="3"/>
  <c r="D311" i="3" s="1"/>
  <c r="A312" i="3"/>
  <c r="D312" i="3" s="1"/>
  <c r="A313" i="3"/>
  <c r="D313" i="3" s="1"/>
  <c r="A314" i="3"/>
  <c r="D314" i="3" s="1"/>
  <c r="A315" i="3"/>
  <c r="D315" i="3" s="1"/>
  <c r="A316" i="3"/>
  <c r="D316" i="3" s="1"/>
  <c r="A317" i="3"/>
  <c r="D317" i="3" s="1"/>
  <c r="A318" i="3"/>
  <c r="D318" i="3" s="1"/>
  <c r="A319" i="3"/>
  <c r="D319" i="3" s="1"/>
  <c r="A320" i="3"/>
  <c r="D320" i="3" s="1"/>
  <c r="A321" i="3"/>
  <c r="D321" i="3" s="1"/>
  <c r="A322" i="3"/>
  <c r="D322" i="3" s="1"/>
  <c r="A323" i="3"/>
  <c r="D323" i="3" s="1"/>
  <c r="A324" i="3"/>
  <c r="D324" i="3" s="1"/>
  <c r="A325" i="3"/>
  <c r="D325" i="3" s="1"/>
  <c r="A326" i="3"/>
  <c r="D326" i="3" s="1"/>
  <c r="A327" i="3"/>
  <c r="D327" i="3" s="1"/>
  <c r="A328" i="3"/>
  <c r="D328" i="3" s="1"/>
  <c r="A329" i="3"/>
  <c r="D329" i="3" s="1"/>
  <c r="A330" i="3"/>
  <c r="D330" i="3" s="1"/>
  <c r="A331" i="3"/>
  <c r="D331" i="3" s="1"/>
  <c r="A332" i="3"/>
  <c r="D332" i="3" s="1"/>
  <c r="A333" i="3"/>
  <c r="D333" i="3" s="1"/>
  <c r="A334" i="3"/>
  <c r="D334" i="3" s="1"/>
  <c r="A335" i="3"/>
  <c r="D335" i="3" s="1"/>
  <c r="A336" i="3"/>
  <c r="D336" i="3" s="1"/>
  <c r="A337" i="3"/>
  <c r="D337" i="3" s="1"/>
  <c r="A338" i="3"/>
  <c r="D338" i="3" s="1"/>
  <c r="A339" i="3"/>
  <c r="D339" i="3" s="1"/>
  <c r="A340" i="3"/>
  <c r="D340" i="3" s="1"/>
  <c r="A341" i="3"/>
  <c r="D341" i="3" s="1"/>
  <c r="A342" i="3"/>
  <c r="D342" i="3" s="1"/>
  <c r="A343" i="3"/>
  <c r="D343" i="3" s="1"/>
  <c r="A344" i="3"/>
  <c r="D344" i="3" s="1"/>
  <c r="A345" i="3"/>
  <c r="D345" i="3" s="1"/>
  <c r="A346" i="3"/>
  <c r="D346" i="3" s="1"/>
  <c r="A347" i="3"/>
  <c r="D347" i="3" s="1"/>
  <c r="A348" i="3"/>
  <c r="D348" i="3" s="1"/>
  <c r="A349" i="3"/>
  <c r="D349" i="3" s="1"/>
  <c r="A350" i="3"/>
  <c r="D350" i="3" s="1"/>
  <c r="A351" i="3"/>
  <c r="D351" i="3" s="1"/>
  <c r="A352" i="3"/>
  <c r="D352" i="3" s="1"/>
  <c r="A353" i="3"/>
  <c r="D353" i="3" s="1"/>
  <c r="A354" i="3"/>
  <c r="D354" i="3" s="1"/>
  <c r="A355" i="3"/>
  <c r="D355" i="3" s="1"/>
  <c r="A356" i="3"/>
  <c r="D356" i="3" s="1"/>
  <c r="A357" i="3"/>
  <c r="D357" i="3" s="1"/>
  <c r="A358" i="3"/>
  <c r="D358" i="3" s="1"/>
  <c r="A359" i="3"/>
  <c r="D359" i="3" s="1"/>
  <c r="A360" i="3"/>
  <c r="D360" i="3" s="1"/>
  <c r="A361" i="3"/>
  <c r="D361" i="3" s="1"/>
  <c r="A362" i="3"/>
  <c r="D362" i="3" s="1"/>
  <c r="A363" i="3"/>
  <c r="D363" i="3" s="1"/>
  <c r="A364" i="3"/>
  <c r="D364" i="3" s="1"/>
  <c r="A365" i="3"/>
  <c r="D365" i="3" s="1"/>
  <c r="A366" i="3"/>
  <c r="D366" i="3" s="1"/>
  <c r="A367" i="3"/>
  <c r="D367" i="3" s="1"/>
  <c r="A368" i="3"/>
  <c r="D368" i="3" s="1"/>
  <c r="A369" i="3"/>
  <c r="D369" i="3" s="1"/>
  <c r="A370" i="3"/>
  <c r="D370" i="3" s="1"/>
  <c r="A371" i="3"/>
  <c r="D371" i="3" s="1"/>
  <c r="A372" i="3"/>
  <c r="D372" i="3" s="1"/>
  <c r="A373" i="3"/>
  <c r="D373" i="3" s="1"/>
  <c r="A374" i="3"/>
  <c r="D374" i="3" s="1"/>
  <c r="A375" i="3"/>
  <c r="D375" i="3" s="1"/>
  <c r="A376" i="3"/>
  <c r="D376" i="3" s="1"/>
  <c r="A377" i="3"/>
  <c r="D377" i="3" s="1"/>
  <c r="A378" i="3"/>
  <c r="D378" i="3" s="1"/>
  <c r="A379" i="3"/>
  <c r="D379" i="3" s="1"/>
  <c r="A380" i="3"/>
  <c r="D380" i="3" s="1"/>
  <c r="A381" i="3"/>
  <c r="D381" i="3" s="1"/>
  <c r="A382" i="3"/>
  <c r="D382" i="3" s="1"/>
  <c r="A383" i="3"/>
  <c r="D383" i="3" s="1"/>
  <c r="A384" i="3"/>
  <c r="D384" i="3" s="1"/>
  <c r="A385" i="3"/>
  <c r="D385" i="3" s="1"/>
  <c r="A386" i="3"/>
  <c r="D386" i="3" s="1"/>
  <c r="A387" i="3"/>
  <c r="D387" i="3" s="1"/>
  <c r="A388" i="3"/>
  <c r="D388" i="3" s="1"/>
  <c r="A389" i="3"/>
  <c r="D389" i="3" s="1"/>
  <c r="A390" i="3"/>
  <c r="D390" i="3" s="1"/>
  <c r="A391" i="3"/>
  <c r="D391" i="3" s="1"/>
  <c r="A392" i="3"/>
  <c r="D392" i="3" s="1"/>
  <c r="A393" i="3"/>
  <c r="D393" i="3" s="1"/>
  <c r="A394" i="3"/>
  <c r="D394" i="3" s="1"/>
  <c r="A395" i="3"/>
  <c r="D395" i="3" s="1"/>
  <c r="A396" i="3"/>
  <c r="D396" i="3" s="1"/>
  <c r="A397" i="3"/>
  <c r="D397" i="3" s="1"/>
  <c r="A398" i="3"/>
  <c r="D398" i="3" s="1"/>
  <c r="A399" i="3"/>
  <c r="D399" i="3" s="1"/>
  <c r="A2" i="3"/>
  <c r="D2" i="3" s="1"/>
  <c r="E289" i="3" a="1"/>
  <c r="E331" i="3" a="1"/>
  <c r="E374" i="3" a="1"/>
  <c r="E172" i="3" a="1"/>
  <c r="E389" i="3" a="1"/>
  <c r="E39" i="3" a="1"/>
  <c r="E33" i="3" a="1"/>
  <c r="E353" i="3" a="1"/>
  <c r="E146" i="3" a="1"/>
  <c r="E283" i="3" a="1"/>
  <c r="E201" i="3" a="1"/>
  <c r="E300" i="3" a="1"/>
  <c r="E166" i="3" a="1"/>
  <c r="E297" i="3" a="1"/>
  <c r="E137" i="3" a="1"/>
  <c r="E333" i="3" a="1"/>
  <c r="E85" i="3" a="1"/>
  <c r="E303" i="3" a="1"/>
  <c r="E154" i="3" a="1"/>
  <c r="E78" i="3" a="1"/>
  <c r="E252" i="3" a="1"/>
  <c r="E352" i="3" a="1"/>
  <c r="E190" i="3" a="1"/>
  <c r="E291" i="3" a="1"/>
  <c r="E267" i="3" a="1"/>
  <c r="E185" i="3" a="1"/>
  <c r="E86" i="3" a="1"/>
  <c r="E174" i="3" a="1"/>
  <c r="E55" i="3" a="1"/>
  <c r="E342" i="3" a="1"/>
  <c r="E273" i="3" a="1"/>
  <c r="E90" i="3" a="1"/>
  <c r="E42" i="3" a="1"/>
  <c r="E69" i="3" a="1"/>
  <c r="E162" i="3" a="1"/>
  <c r="E195" i="3" a="1"/>
  <c r="E81" i="3" a="1"/>
  <c r="E240" i="3" a="1"/>
  <c r="E251" i="3" a="1"/>
  <c r="E233" i="3" a="1"/>
  <c r="E317" i="3" a="1"/>
  <c r="E204" i="3" a="1"/>
  <c r="E324" i="3" a="1"/>
  <c r="E108" i="3" a="1"/>
  <c r="E153" i="3" a="1"/>
  <c r="E286" i="3" a="1"/>
  <c r="E309" i="3" a="1"/>
  <c r="E134" i="3" a="1"/>
  <c r="E182" i="3" a="1"/>
  <c r="E392" i="3" a="1"/>
  <c r="E115" i="3" a="1"/>
  <c r="E131" i="3" a="1"/>
  <c r="E306" i="3" a="1"/>
  <c r="E52" i="3" a="1"/>
  <c r="E341" i="3" a="1"/>
  <c r="E366" i="3" a="1"/>
  <c r="E37" i="3" a="1"/>
  <c r="E351" i="3" a="1"/>
  <c r="E59" i="3" a="1"/>
  <c r="E285" i="3" a="1"/>
  <c r="E19" i="3" a="1"/>
  <c r="E21" i="3" a="1"/>
  <c r="E48" i="3" a="1"/>
  <c r="E32" i="3" a="1"/>
  <c r="E302" i="3" a="1"/>
  <c r="E194" i="3" a="1"/>
  <c r="E367" i="3" a="1"/>
  <c r="E310" i="3" a="1"/>
  <c r="E61" i="3" a="1"/>
  <c r="E277" i="3" a="1"/>
  <c r="E22" i="3" a="1"/>
  <c r="E36" i="3" a="1"/>
  <c r="E155" i="3" a="1"/>
  <c r="E350" i="3" a="1"/>
  <c r="E226" i="3" a="1"/>
  <c r="E82" i="3" a="1"/>
  <c r="E304" i="3" a="1"/>
  <c r="E84" i="3" a="1"/>
  <c r="E322" i="3" a="1"/>
  <c r="E8" i="3" a="1"/>
  <c r="E311" i="3" a="1"/>
  <c r="E40" i="3" a="1"/>
  <c r="E11" i="3" a="1"/>
  <c r="E140" i="3" a="1"/>
  <c r="E109" i="3" a="1"/>
  <c r="E184" i="3" a="1"/>
  <c r="E197" i="3" a="1"/>
  <c r="E16" i="3" a="1"/>
  <c r="E17" i="3" a="1"/>
  <c r="E332" i="3" a="1"/>
  <c r="E12" i="3" a="1"/>
  <c r="E221" i="3" a="1"/>
  <c r="E178" i="3" a="1"/>
  <c r="E132" i="3" a="1"/>
  <c r="E265" i="3" a="1"/>
  <c r="E76" i="3" a="1"/>
  <c r="E3" i="3" a="1"/>
  <c r="E276" i="3" a="1"/>
  <c r="E123" i="3" a="1"/>
  <c r="E34" i="3" a="1"/>
  <c r="E356" i="3" a="1"/>
  <c r="E398" i="3" a="1"/>
  <c r="E362" i="3" a="1"/>
  <c r="E339" i="3" a="1"/>
  <c r="E394" i="3" a="1"/>
  <c r="E113" i="3" a="1"/>
  <c r="E381" i="3" a="1"/>
  <c r="E247" i="3" a="1"/>
  <c r="E143" i="3" a="1"/>
  <c r="E379" i="3" a="1"/>
  <c r="E279" i="3" a="1"/>
  <c r="E44" i="3" a="1"/>
  <c r="E125" i="3" a="1"/>
  <c r="E253" i="3" a="1"/>
  <c r="E262" i="3" a="1"/>
  <c r="E238" i="3" a="1"/>
  <c r="E270" i="3" a="1"/>
  <c r="E25" i="3" a="1"/>
  <c r="E205" i="3" a="1"/>
  <c r="E4" i="3" a="1"/>
  <c r="E193" i="3" a="1"/>
  <c r="E129" i="3" a="1"/>
  <c r="E188" i="3" a="1"/>
  <c r="E180" i="3" a="1"/>
  <c r="E254" i="3" a="1"/>
  <c r="E209" i="3" a="1"/>
  <c r="E148" i="3" a="1"/>
  <c r="E158" i="3" a="1"/>
  <c r="E117" i="3" a="1"/>
  <c r="E54" i="3" a="1"/>
  <c r="E168" i="3" a="1"/>
  <c r="E346" i="3" a="1"/>
  <c r="E219" i="3" a="1"/>
  <c r="E390" i="3" a="1"/>
  <c r="E20" i="3" a="1"/>
  <c r="E139" i="3" a="1"/>
  <c r="E360" i="3" a="1"/>
  <c r="E122" i="3" a="1"/>
  <c r="E207" i="3" a="1"/>
  <c r="E363" i="3" a="1"/>
  <c r="E215" i="3" a="1"/>
  <c r="E111" i="3" a="1"/>
  <c r="E29" i="3" a="1"/>
  <c r="E314" i="3" a="1"/>
  <c r="E157" i="3" a="1"/>
  <c r="E79" i="3" a="1"/>
  <c r="E77" i="3" a="1"/>
  <c r="E318" i="3" a="1"/>
  <c r="E269" i="3" a="1"/>
  <c r="E35" i="3" a="1"/>
  <c r="E229" i="3" a="1"/>
  <c r="E334" i="3" a="1"/>
  <c r="E67" i="3" a="1"/>
  <c r="E171" i="3" a="1"/>
  <c r="E164" i="3" a="1"/>
  <c r="E305" i="3" a="1"/>
  <c r="E292" i="3" a="1"/>
  <c r="E347" i="3" a="1"/>
  <c r="E58" i="3" a="1"/>
  <c r="E94" i="3" a="1"/>
  <c r="E246" i="3" a="1"/>
  <c r="E321" i="3" a="1"/>
  <c r="E382" i="3" a="1"/>
  <c r="E152" i="3" a="1"/>
  <c r="E349" i="3" a="1"/>
  <c r="E223" i="3" a="1"/>
  <c r="E258" i="3" a="1"/>
  <c r="E257" i="3" a="1"/>
  <c r="E176" i="3" a="1"/>
  <c r="E167" i="3" a="1"/>
  <c r="E281" i="3" a="1"/>
  <c r="E282" i="3" a="1"/>
  <c r="E183" i="3" a="1"/>
  <c r="E230" i="3" a="1"/>
  <c r="E74" i="3" a="1"/>
  <c r="E14" i="3" a="1"/>
  <c r="E26" i="3" a="1"/>
  <c r="E387" i="3" a="1"/>
  <c r="E105" i="3" a="1"/>
  <c r="E239" i="3" a="1"/>
  <c r="E296" i="3" a="1"/>
  <c r="E147" i="3" a="1"/>
  <c r="E249" i="3" a="1"/>
  <c r="E378" i="3" a="1"/>
  <c r="E220" i="3" a="1"/>
  <c r="E274" i="3" a="1"/>
  <c r="E156" i="3" a="1"/>
  <c r="E376" i="3" a="1"/>
  <c r="E359" i="3" a="1"/>
  <c r="E255" i="3" a="1"/>
  <c r="E298" i="3" a="1"/>
  <c r="E196" i="3" a="1"/>
  <c r="E53" i="3" a="1"/>
  <c r="E145" i="3" a="1"/>
  <c r="E51" i="3" a="1"/>
  <c r="E319" i="3" a="1"/>
  <c r="E391" i="3" a="1"/>
  <c r="E358" i="3" a="1"/>
  <c r="E399" i="3" a="1"/>
  <c r="E144" i="3" a="1"/>
  <c r="E241" i="3" a="1"/>
  <c r="E63" i="3" a="1"/>
  <c r="E43" i="3" a="1"/>
  <c r="E213" i="3" a="1"/>
  <c r="E71" i="3" a="1"/>
  <c r="E212" i="3" a="1"/>
  <c r="E222" i="3" a="1"/>
  <c r="E202" i="3" a="1"/>
  <c r="E75" i="3" a="1"/>
  <c r="E343" i="3" a="1"/>
  <c r="E7" i="3" a="1"/>
  <c r="E263" i="3" a="1"/>
  <c r="E261" i="3" a="1"/>
  <c r="E323" i="3" a="1"/>
  <c r="E13" i="3" a="1"/>
  <c r="E181" i="3" a="1"/>
  <c r="E348" i="3" a="1"/>
  <c r="E169" i="3" a="1"/>
  <c r="E294" i="3" a="1"/>
  <c r="E149" i="3" a="1"/>
  <c r="E99" i="3" a="1"/>
  <c r="E38" i="3" a="1"/>
  <c r="E57" i="3" a="1"/>
  <c r="E256" i="3" a="1"/>
  <c r="E278" i="3" a="1"/>
  <c r="E312" i="3" a="1"/>
  <c r="E27" i="3" a="1"/>
  <c r="E126" i="3" a="1"/>
  <c r="E98" i="3" a="1"/>
  <c r="E357" i="3" a="1"/>
  <c r="E31" i="3" a="1"/>
  <c r="E290" i="3" a="1"/>
  <c r="E89" i="3" a="1"/>
  <c r="E101" i="3" a="1"/>
  <c r="E234" i="3" a="1"/>
  <c r="E383" i="3" a="1"/>
  <c r="E385" i="3" a="1"/>
  <c r="E186" i="3" a="1"/>
  <c r="E250" i="3" a="1"/>
  <c r="E295" i="3" a="1"/>
  <c r="E73" i="3" a="1"/>
  <c r="E170" i="3" a="1"/>
  <c r="E370" i="3" a="1"/>
  <c r="E47" i="3" a="1"/>
  <c r="E18" i="3" a="1"/>
  <c r="E95" i="3" a="1"/>
  <c r="E41" i="3" a="1"/>
  <c r="E384" i="3" a="1"/>
  <c r="E369" i="3" a="1"/>
  <c r="E266" i="3" a="1"/>
  <c r="E293" i="3" a="1"/>
  <c r="E315" i="3" a="1"/>
  <c r="E165" i="3" a="1"/>
  <c r="E264" i="3" a="1"/>
  <c r="E88" i="3" a="1"/>
  <c r="E187" i="3" a="1"/>
  <c r="E65" i="3" a="1"/>
  <c r="E163" i="3" a="1"/>
  <c r="E200" i="3" a="1"/>
  <c r="E68" i="3" a="1"/>
  <c r="E224" i="3" a="1"/>
  <c r="E288" i="3" a="1"/>
  <c r="E284" i="3" a="1"/>
  <c r="E133" i="3" a="1"/>
  <c r="E46" i="3" a="1"/>
  <c r="E112" i="3" a="1"/>
  <c r="E244" i="3" a="1"/>
  <c r="E388" i="3" a="1"/>
  <c r="E245" i="3" a="1"/>
  <c r="E364" i="3" a="1"/>
  <c r="E189" i="3" a="1"/>
  <c r="E56" i="3" a="1"/>
  <c r="E326" i="3" a="1"/>
  <c r="E325" i="3" a="1"/>
  <c r="E138" i="3" a="1"/>
  <c r="E15" i="3" a="1"/>
  <c r="E30" i="3" a="1"/>
  <c r="E60" i="3" a="1"/>
  <c r="E97" i="3" a="1"/>
  <c r="E49" i="3" a="1"/>
  <c r="E368" i="3" a="1"/>
  <c r="E345" i="3" a="1"/>
  <c r="E299" i="3" a="1"/>
  <c r="E175" i="3" a="1"/>
  <c r="E119" i="3" a="1"/>
  <c r="E150" i="3" a="1"/>
  <c r="E375" i="3" a="1"/>
  <c r="E344" i="3" a="1"/>
  <c r="E160" i="3" a="1"/>
  <c r="E102" i="3" a="1"/>
  <c r="E64" i="3" a="1"/>
  <c r="E161" i="3" a="1"/>
  <c r="E106" i="3" a="1"/>
  <c r="E280" i="3" a="1"/>
  <c r="E83" i="3" a="1"/>
  <c r="E141" i="3" a="1"/>
  <c r="E5" i="3" a="1"/>
  <c r="E210" i="3" a="1"/>
  <c r="E395" i="3" a="1"/>
  <c r="E396" i="3" a="1"/>
  <c r="E151" i="3" a="1"/>
  <c r="E23" i="3" a="1"/>
  <c r="E208" i="3" a="1"/>
  <c r="E372" i="3" a="1"/>
  <c r="E6" i="3" a="1"/>
  <c r="E248" i="3" a="1"/>
  <c r="E338" i="3" a="1"/>
  <c r="E191" i="3" a="1"/>
  <c r="E355" i="3" a="1"/>
  <c r="E287" i="3" a="1"/>
  <c r="E211" i="3" a="1"/>
  <c r="E124" i="3" a="1"/>
  <c r="E228" i="3" a="1"/>
  <c r="E330" i="3" a="1"/>
  <c r="E10" i="3" a="1"/>
  <c r="E121" i="3" a="1"/>
  <c r="E336" i="3" a="1"/>
  <c r="E242" i="3" a="1"/>
  <c r="E70" i="3" a="1"/>
  <c r="E198" i="3" a="1"/>
  <c r="E386" i="3" a="1"/>
  <c r="E110" i="3" a="1"/>
  <c r="E337" i="3" a="1"/>
  <c r="E92" i="3" a="1"/>
  <c r="E62" i="3" a="1"/>
  <c r="E50" i="3" a="1"/>
  <c r="E268" i="3" a="1"/>
  <c r="E380" i="3" a="1"/>
  <c r="E354" i="3" a="1"/>
  <c r="E216" i="3" a="1"/>
  <c r="E2" i="3" a="1"/>
  <c r="E177" i="3" a="1"/>
  <c r="E72" i="3" a="1"/>
  <c r="E237" i="3" a="1"/>
  <c r="E218" i="3" a="1"/>
  <c r="E377" i="3" a="1"/>
  <c r="E329" i="3" a="1"/>
  <c r="E9" i="3" a="1"/>
  <c r="E307" i="3" a="1"/>
  <c r="E91" i="3" a="1"/>
  <c r="E206" i="3" a="1"/>
  <c r="E179" i="3" a="1"/>
  <c r="E217" i="3" a="1"/>
  <c r="E335" i="3" a="1"/>
  <c r="E100" i="3" a="1"/>
  <c r="E327" i="3" a="1"/>
  <c r="E116" i="3" a="1"/>
  <c r="E393" i="3" a="1"/>
  <c r="E87" i="3" a="1"/>
  <c r="E225" i="3" a="1"/>
  <c r="E104" i="3" a="1"/>
  <c r="E275" i="3" a="1"/>
  <c r="E80" i="3" a="1"/>
  <c r="E308" i="3" a="1"/>
  <c r="E28" i="3" a="1"/>
  <c r="E199" i="3" a="1"/>
  <c r="E243" i="3" a="1"/>
  <c r="E159" i="3" a="1"/>
  <c r="E192" i="3" a="1"/>
  <c r="E173" i="3" a="1"/>
  <c r="E272" i="3" a="1"/>
  <c r="E320" i="3" a="1"/>
  <c r="E361" i="3" a="1"/>
  <c r="E232" i="3" a="1"/>
  <c r="E107" i="3" a="1"/>
  <c r="E127" i="3" a="1"/>
  <c r="E316" i="3" a="1"/>
  <c r="E231" i="3" a="1"/>
  <c r="E24" i="3" a="1"/>
  <c r="E365" i="3" a="1"/>
  <c r="E114" i="3" a="1"/>
  <c r="E313" i="3" a="1"/>
  <c r="E236" i="3" a="1"/>
  <c r="E214" i="3" a="1"/>
  <c r="E96" i="3" a="1"/>
  <c r="E340" i="3" a="1"/>
  <c r="E142" i="3" a="1"/>
  <c r="E136" i="3" a="1"/>
  <c r="E260" i="3" a="1"/>
  <c r="E120" i="3" a="1"/>
  <c r="E397" i="3" a="1"/>
  <c r="E118" i="3" a="1"/>
  <c r="E128" i="3" a="1"/>
  <c r="E130" i="3" a="1"/>
  <c r="E227" i="3" a="1"/>
  <c r="E66" i="3" a="1"/>
  <c r="E103" i="3" a="1"/>
  <c r="E373" i="3" a="1"/>
  <c r="E45" i="3" a="1"/>
  <c r="E301" i="3" a="1"/>
  <c r="E93" i="3" a="1"/>
  <c r="E203" i="3" a="1"/>
  <c r="E271" i="3" a="1"/>
  <c r="E328" i="3" a="1"/>
  <c r="E135" i="3" a="1"/>
  <c r="E259" i="3" a="1"/>
  <c r="E371" i="3" a="1"/>
  <c r="E235" i="3" a="1"/>
  <c r="C25" i="3" a="1"/>
  <c r="C291" i="3" a="1"/>
  <c r="C268" i="3" a="1"/>
  <c r="C161" i="3" a="1"/>
  <c r="C17" i="3" a="1"/>
  <c r="B101" i="3" a="1"/>
  <c r="C101" i="3" a="1"/>
  <c r="C113" i="3" a="1"/>
  <c r="B95" i="3" a="1"/>
  <c r="C87" i="3" a="1"/>
  <c r="C303" i="3" a="1"/>
  <c r="B83" i="3" a="1"/>
  <c r="B341" i="3" a="1"/>
  <c r="C218" i="3" a="1"/>
  <c r="C68" i="3" a="1"/>
  <c r="B192" i="3" a="1"/>
  <c r="C203" i="3" a="1"/>
  <c r="B143" i="3" a="1"/>
  <c r="B225" i="3" a="1"/>
  <c r="C396" i="3" a="1"/>
  <c r="C46" i="3" a="1"/>
  <c r="B231" i="3" a="1"/>
  <c r="C188" i="3" a="1"/>
  <c r="C334" i="3" a="1"/>
  <c r="B299" i="3" a="1"/>
  <c r="C365" i="3" a="1"/>
  <c r="B64" i="3" a="1"/>
  <c r="C181" i="3" a="1"/>
  <c r="C39" i="3" a="1"/>
  <c r="B252" i="3" a="1"/>
  <c r="C135" i="3" a="1"/>
  <c r="C328" i="3" a="1"/>
  <c r="C94" i="3" a="1"/>
  <c r="C209" i="3" a="1"/>
  <c r="C112" i="3" a="1"/>
  <c r="B268" i="3" a="1"/>
  <c r="C324" i="3" a="1"/>
  <c r="B220" i="3" a="1"/>
  <c r="B97" i="3" a="1"/>
  <c r="C77" i="3" a="1"/>
  <c r="C278" i="3" a="1"/>
  <c r="B263" i="3" a="1"/>
  <c r="C205" i="3" a="1"/>
  <c r="B15" i="3" a="1"/>
  <c r="C3" i="3" a="1"/>
  <c r="C297" i="3" a="1"/>
  <c r="C210" i="3" a="1"/>
  <c r="C280" i="3" a="1"/>
  <c r="C198" i="3" a="1"/>
  <c r="C22" i="3" a="1"/>
  <c r="B63" i="3" a="1"/>
  <c r="C100" i="3" a="1"/>
  <c r="C223" i="3" a="1"/>
  <c r="B354" i="3" a="1"/>
  <c r="C369" i="3" a="1"/>
  <c r="B345" i="3" a="1"/>
  <c r="C350" i="3" a="1"/>
  <c r="C251" i="3" a="1"/>
  <c r="B73" i="3" a="1"/>
  <c r="C377" i="3" a="1"/>
  <c r="C274" i="3" a="1"/>
  <c r="B96" i="3" a="1"/>
  <c r="C234" i="3" a="1"/>
  <c r="B270" i="3" a="1"/>
  <c r="C99" i="3" a="1"/>
  <c r="B18" i="3" a="1"/>
  <c r="C118" i="3" a="1"/>
  <c r="C158" i="3" a="1"/>
  <c r="B313" i="3" a="1"/>
  <c r="C64" i="3" a="1"/>
  <c r="C343" i="3" a="1"/>
  <c r="B308" i="3" a="1"/>
  <c r="C23" i="3" a="1"/>
  <c r="C170" i="3" a="1"/>
  <c r="C184" i="3" a="1"/>
  <c r="B358" i="3" a="1"/>
  <c r="B323" i="3" a="1"/>
  <c r="B99" i="3" a="1"/>
  <c r="B397" i="3" a="1"/>
  <c r="B109" i="3" a="1"/>
  <c r="B103" i="3" a="1"/>
  <c r="B172" i="3" a="1"/>
  <c r="C266" i="3" a="1"/>
  <c r="C295" i="3" a="1"/>
  <c r="B381" i="3" a="1"/>
  <c r="C125" i="3" a="1"/>
  <c r="B20" i="3" a="1"/>
  <c r="B253" i="3" a="1"/>
  <c r="C131" i="3" a="1"/>
  <c r="B50" i="3" a="1"/>
  <c r="B169" i="3" a="1"/>
  <c r="B251" i="3" a="1"/>
  <c r="C362" i="3" a="1"/>
  <c r="B319" i="3" a="1"/>
  <c r="C109" i="3" a="1"/>
  <c r="C284" i="3" a="1"/>
  <c r="C136" i="3" a="1"/>
  <c r="C90" i="3" a="1"/>
  <c r="B391" i="3" a="1"/>
  <c r="B344" i="3" a="1"/>
  <c r="B281" i="3" a="1"/>
  <c r="C390" i="3" a="1"/>
  <c r="C16" i="3" a="1"/>
  <c r="C232" i="3" a="1"/>
  <c r="B134" i="3" a="1"/>
  <c r="B378" i="3" a="1"/>
  <c r="B257" i="3" a="1"/>
  <c r="C398" i="3" a="1"/>
  <c r="B136" i="3" a="1"/>
  <c r="B187" i="3" a="1"/>
  <c r="B183" i="3" a="1"/>
  <c r="B40" i="3" a="1"/>
  <c r="C238" i="3" a="1"/>
  <c r="B273" i="3" a="1"/>
  <c r="C294" i="3" a="1"/>
  <c r="C322" i="3" a="1"/>
  <c r="B364" i="3" a="1"/>
  <c r="C327" i="3" a="1"/>
  <c r="B84" i="3" a="1"/>
  <c r="C281" i="3" a="1"/>
  <c r="B368" i="3" a="1"/>
  <c r="C186" i="3" a="1"/>
  <c r="C242" i="3" a="1"/>
  <c r="B30" i="3" a="1"/>
  <c r="C75" i="3" a="1"/>
  <c r="B159" i="3" a="1"/>
  <c r="B89" i="3" a="1"/>
  <c r="C129" i="3" a="1"/>
  <c r="B301" i="3" a="1"/>
  <c r="C4" i="3" a="1"/>
  <c r="B316" i="3" a="1"/>
  <c r="B340" i="3" a="1"/>
  <c r="B269" i="3" a="1"/>
  <c r="B76" i="3" a="1"/>
  <c r="C285" i="3" a="1"/>
  <c r="C8" i="3" a="1"/>
  <c r="B291" i="3" a="1"/>
  <c r="B151" i="3" a="1"/>
  <c r="B87" i="3" a="1"/>
  <c r="C356" i="3" a="1"/>
  <c r="B82" i="3" a="1"/>
  <c r="C226" i="3" a="1"/>
  <c r="B62" i="3" a="1"/>
  <c r="C332" i="3" a="1"/>
  <c r="B390" i="3" a="1"/>
  <c r="C215" i="3" a="1"/>
  <c r="C249" i="3" a="1"/>
  <c r="C28" i="3" a="1"/>
  <c r="B37" i="3" a="1"/>
  <c r="B357" i="3" a="1"/>
  <c r="C105" i="3" a="1"/>
  <c r="B227" i="3" a="1"/>
  <c r="B222" i="3" a="1"/>
  <c r="B119" i="3" a="1"/>
  <c r="B206" i="3" a="1"/>
  <c r="B10" i="3" a="1"/>
  <c r="C78" i="3" a="1"/>
  <c r="C128" i="3" a="1"/>
  <c r="C21" i="3" a="1"/>
  <c r="B57" i="3" a="1"/>
  <c r="C70" i="3" a="1"/>
  <c r="B280" i="3" a="1"/>
  <c r="B144" i="3" a="1"/>
  <c r="B310" i="3" a="1"/>
  <c r="B233" i="3" a="1"/>
  <c r="C333" i="3" a="1"/>
  <c r="B16" i="3" a="1"/>
  <c r="C371" i="3" a="1"/>
  <c r="B332" i="3" a="1"/>
  <c r="B243" i="3" a="1"/>
  <c r="B179" i="3" a="1"/>
  <c r="C342" i="3" a="1"/>
  <c r="B106" i="3" a="1"/>
  <c r="C252" i="3" a="1"/>
  <c r="B298" i="3" a="1"/>
  <c r="C91" i="3" a="1"/>
  <c r="B31" i="3" a="1"/>
  <c r="C169" i="3" a="1"/>
  <c r="B230" i="3" a="1"/>
  <c r="B285" i="3" a="1"/>
  <c r="B150" i="3" a="1"/>
  <c r="C168" i="3" a="1"/>
  <c r="B171" i="3" a="1"/>
  <c r="B259" i="3" a="1"/>
  <c r="C185" i="3" a="1"/>
  <c r="B13" i="3" a="1"/>
  <c r="C231" i="3" a="1"/>
  <c r="C104" i="3" a="1"/>
  <c r="C108" i="3" a="1"/>
  <c r="B69" i="3" a="1"/>
  <c r="C24" i="3" a="1"/>
  <c r="B288" i="3" a="1"/>
  <c r="B245" i="3" a="1"/>
  <c r="C56" i="3" a="1"/>
  <c r="C344" i="3" a="1"/>
  <c r="B255" i="3" a="1"/>
  <c r="B309" i="3" a="1"/>
  <c r="B306" i="3" a="1"/>
  <c r="C213" i="3" a="1"/>
  <c r="B60" i="3" a="1"/>
  <c r="B25" i="3" a="1"/>
  <c r="C157" i="3" a="1"/>
  <c r="B321" i="3" a="1"/>
  <c r="C69" i="3" a="1"/>
  <c r="B94" i="3" a="1"/>
  <c r="B292" i="3" a="1"/>
  <c r="C2" i="3" a="1"/>
  <c r="B29" i="3" a="1"/>
  <c r="B279" i="3" a="1"/>
  <c r="C162" i="3" a="1"/>
  <c r="C386" i="3" a="1"/>
  <c r="B336" i="3" a="1"/>
  <c r="C176" i="3" a="1"/>
  <c r="C49" i="3" a="1"/>
  <c r="B262" i="3" a="1"/>
  <c r="C229" i="3" a="1"/>
  <c r="B314" i="3" a="1"/>
  <c r="B155" i="3" a="1"/>
  <c r="B186" i="3" a="1"/>
  <c r="B329" i="3" a="1"/>
  <c r="C37" i="3" a="1"/>
  <c r="B375" i="3" a="1"/>
  <c r="B394" i="3" a="1"/>
  <c r="B211" i="3" a="1"/>
  <c r="B70" i="3" a="1"/>
  <c r="B380" i="3" a="1"/>
  <c r="C47" i="3" a="1"/>
  <c r="B204" i="3" a="1"/>
  <c r="C382" i="3" a="1"/>
  <c r="C361" i="3" a="1"/>
  <c r="B315" i="3" a="1"/>
  <c r="C190" i="3" a="1"/>
  <c r="B110" i="3" a="1"/>
  <c r="B363" i="3" a="1"/>
  <c r="B105" i="3" a="1"/>
  <c r="C143" i="3" a="1"/>
  <c r="C52" i="3" a="1"/>
  <c r="C391" i="3" a="1"/>
  <c r="C388" i="3" a="1"/>
  <c r="C31" i="3" a="1"/>
  <c r="C236" i="3" a="1"/>
  <c r="C257" i="3" a="1"/>
  <c r="B361" i="3" a="1"/>
  <c r="C225" i="3" a="1"/>
  <c r="C189" i="3" a="1"/>
  <c r="C259" i="3" a="1"/>
  <c r="C224" i="3" a="1"/>
  <c r="C300" i="3" a="1"/>
  <c r="C171" i="3" a="1"/>
  <c r="C36" i="3" a="1"/>
  <c r="B28" i="3" a="1"/>
  <c r="C363" i="3" a="1"/>
  <c r="C85" i="3" a="1"/>
  <c r="B290" i="3" a="1"/>
  <c r="C340" i="3" a="1"/>
  <c r="C160" i="3" a="1"/>
  <c r="B53" i="3" a="1"/>
  <c r="C267" i="3" a="1"/>
  <c r="C117" i="3" a="1"/>
  <c r="B55" i="3" a="1"/>
  <c r="B221" i="3" a="1"/>
  <c r="B175" i="3" a="1"/>
  <c r="C166" i="3" a="1"/>
  <c r="B127" i="3" a="1"/>
  <c r="C253" i="3" a="1"/>
  <c r="C195" i="3" a="1"/>
  <c r="B81" i="3" a="1"/>
  <c r="B78" i="3" a="1"/>
  <c r="B223" i="3" a="1"/>
  <c r="C308" i="3" a="1"/>
  <c r="B56" i="3" a="1"/>
  <c r="C120" i="3" a="1"/>
  <c r="C255" i="3" a="1"/>
  <c r="C42" i="3" a="1"/>
  <c r="B218" i="3" a="1"/>
  <c r="B369" i="3" a="1"/>
  <c r="B213" i="3" a="1"/>
  <c r="C144" i="3" a="1"/>
  <c r="B142" i="3" a="1"/>
  <c r="B123" i="3" a="1"/>
  <c r="C321" i="3" a="1"/>
  <c r="B356" i="3" a="1"/>
  <c r="C137" i="3" a="1"/>
  <c r="C106" i="3" a="1"/>
  <c r="C289" i="3" a="1"/>
  <c r="C110" i="3" a="1"/>
  <c r="B26" i="3" a="1"/>
  <c r="C397" i="3" a="1"/>
  <c r="B219" i="3" a="1"/>
  <c r="C323" i="3" a="1"/>
  <c r="B247" i="3" a="1"/>
  <c r="B2" i="3" a="1"/>
  <c r="B180" i="3" a="1"/>
  <c r="B195" i="3" a="1"/>
  <c r="C310" i="3" a="1"/>
  <c r="C65" i="3" a="1"/>
  <c r="C376" i="3" a="1"/>
  <c r="C50" i="3" a="1"/>
  <c r="C152" i="3" a="1"/>
  <c r="C55" i="3" a="1"/>
  <c r="C250" i="3" a="1"/>
  <c r="C237" i="3" a="1"/>
  <c r="B24" i="3" a="1"/>
  <c r="C298" i="3" a="1"/>
  <c r="C86" i="3" a="1"/>
  <c r="B88" i="3" a="1"/>
  <c r="C216" i="3" a="1"/>
  <c r="C383" i="3" a="1"/>
  <c r="C29" i="3" a="1"/>
  <c r="C290" i="3" a="1"/>
  <c r="C302" i="3" a="1"/>
  <c r="B118" i="3" a="1"/>
  <c r="B6" i="3" a="1"/>
  <c r="B132" i="3" a="1"/>
  <c r="C196" i="3" a="1"/>
  <c r="B35" i="3" a="1"/>
  <c r="C277" i="3" a="1"/>
  <c r="B116" i="3" a="1"/>
  <c r="C349" i="3" a="1"/>
  <c r="C79" i="3" a="1"/>
  <c r="B237" i="3" a="1"/>
  <c r="B312" i="3" a="1"/>
  <c r="C138" i="3" a="1"/>
  <c r="B214" i="3" a="1"/>
  <c r="C393" i="3" a="1"/>
  <c r="C262" i="3" a="1"/>
  <c r="B388" i="3" a="1"/>
  <c r="B162" i="3" a="1"/>
  <c r="C220" i="3" a="1"/>
  <c r="C20" i="3" a="1"/>
  <c r="C320" i="3" a="1"/>
  <c r="C14" i="3" a="1"/>
  <c r="C326" i="3" a="1"/>
  <c r="C73" i="3" a="1"/>
  <c r="B4" i="3" a="1"/>
  <c r="C51" i="3" a="1"/>
  <c r="B347" i="3" a="1"/>
  <c r="C263" i="3" a="1"/>
  <c r="C182" i="3" a="1"/>
  <c r="C194" i="3" a="1"/>
  <c r="C293" i="3" a="1"/>
  <c r="C187" i="3" a="1"/>
  <c r="B41" i="3" a="1"/>
  <c r="B79" i="3" a="1"/>
  <c r="C339" i="3" a="1"/>
  <c r="B370" i="3" a="1"/>
  <c r="B274" i="3" a="1"/>
  <c r="B350" i="3" a="1"/>
  <c r="C124" i="3" a="1"/>
  <c r="B224" i="3" a="1"/>
  <c r="B342" i="3" a="1"/>
  <c r="B307" i="3" a="1"/>
  <c r="B122" i="3" a="1"/>
  <c r="C179" i="3" a="1"/>
  <c r="C247" i="3" a="1"/>
  <c r="B372" i="3" a="1"/>
  <c r="B129" i="3" a="1"/>
  <c r="B22" i="3" a="1"/>
  <c r="B21" i="3" a="1"/>
  <c r="C217" i="3" a="1"/>
  <c r="C292" i="3" a="1"/>
  <c r="C13" i="3" a="1"/>
  <c r="C174" i="3" a="1"/>
  <c r="C116" i="3" a="1"/>
  <c r="C269" i="3" a="1"/>
  <c r="B303" i="3" a="1"/>
  <c r="B74" i="3" a="1"/>
  <c r="B365" i="3" a="1"/>
  <c r="B114" i="3" a="1"/>
  <c r="B196" i="3" a="1"/>
  <c r="C241" i="3" a="1"/>
  <c r="C245" i="3" a="1"/>
  <c r="B173" i="3" a="1"/>
  <c r="C387" i="3" a="1"/>
  <c r="C264" i="3" a="1"/>
  <c r="B276" i="3" a="1"/>
  <c r="C140" i="3" a="1"/>
  <c r="C378" i="3" a="1"/>
  <c r="B3" i="3" a="1"/>
  <c r="C80" i="3" a="1"/>
  <c r="B366" i="3" a="1"/>
  <c r="B71" i="3" a="1"/>
  <c r="B235" i="3" a="1"/>
  <c r="C197" i="3" a="1"/>
  <c r="B334" i="3" a="1"/>
  <c r="C192" i="3" a="1"/>
  <c r="C82" i="3" a="1"/>
  <c r="B61" i="3" a="1"/>
  <c r="C59" i="3" a="1"/>
  <c r="C330" i="3" a="1"/>
  <c r="B170" i="3" a="1"/>
  <c r="C283" i="3" a="1"/>
  <c r="C273" i="3" a="1"/>
  <c r="B293" i="3" a="1"/>
  <c r="B191" i="3" a="1"/>
  <c r="B168" i="3" a="1"/>
  <c r="C399" i="3" a="1"/>
  <c r="B45" i="3" a="1"/>
  <c r="C228" i="3" a="1"/>
  <c r="B198" i="3" a="1"/>
  <c r="B295" i="3" a="1"/>
  <c r="C134" i="3" a="1"/>
  <c r="B149" i="3" a="1"/>
  <c r="C374" i="3" a="1"/>
  <c r="B188" i="3" a="1"/>
  <c r="B210" i="3" a="1"/>
  <c r="B359" i="3" a="1"/>
  <c r="B126" i="3" a="1"/>
  <c r="B107" i="3" a="1"/>
  <c r="B387" i="3" a="1"/>
  <c r="B141" i="3" a="1"/>
  <c r="B238" i="3" a="1"/>
  <c r="C165" i="3" a="1"/>
  <c r="C15" i="3" a="1"/>
  <c r="B131" i="3" a="1"/>
  <c r="B194" i="3" a="1"/>
  <c r="C150" i="3" a="1"/>
  <c r="B59" i="3" a="1"/>
  <c r="B91" i="3" a="1"/>
  <c r="B176" i="3" a="1"/>
  <c r="B278" i="3" a="1"/>
  <c r="B322" i="3" a="1"/>
  <c r="C153" i="3" a="1"/>
  <c r="B228" i="3" a="1"/>
  <c r="B5" i="3" a="1"/>
  <c r="B275" i="3" a="1"/>
  <c r="B65" i="3" a="1"/>
  <c r="C306" i="3" a="1"/>
  <c r="C193" i="3" a="1"/>
  <c r="B382" i="3" a="1"/>
  <c r="C183" i="3" a="1"/>
  <c r="B239" i="3" a="1"/>
  <c r="C358" i="3" a="1"/>
  <c r="C139" i="3" a="1"/>
  <c r="B47" i="3" a="1"/>
  <c r="B395" i="3" a="1"/>
  <c r="B148" i="3" a="1"/>
  <c r="B178" i="3" a="1"/>
  <c r="B153" i="3" a="1"/>
  <c r="B284" i="3" a="1"/>
  <c r="C177" i="3" a="1"/>
  <c r="B58" i="3" a="1"/>
  <c r="C172" i="3" a="1"/>
  <c r="C44" i="3" a="1"/>
  <c r="B202" i="3" a="1"/>
  <c r="C299" i="3" a="1"/>
  <c r="C175" i="3" a="1"/>
  <c r="C167" i="3" a="1"/>
  <c r="B23" i="3" a="1"/>
  <c r="C244" i="3" a="1"/>
  <c r="B337" i="3" a="1"/>
  <c r="C265" i="3" a="1"/>
  <c r="C335" i="3" a="1"/>
  <c r="C395" i="3" a="1"/>
  <c r="C304" i="3" a="1"/>
  <c r="B8" i="3" a="1"/>
  <c r="B320" i="3" a="1"/>
  <c r="C61" i="3" a="1"/>
  <c r="B258" i="3" a="1"/>
  <c r="C312" i="3" a="1"/>
  <c r="B215" i="3" a="1"/>
  <c r="C354" i="3" a="1"/>
  <c r="C66" i="3" a="1"/>
  <c r="C270" i="3" a="1"/>
  <c r="C141" i="3" a="1"/>
  <c r="B112" i="3" a="1"/>
  <c r="B362" i="3" a="1"/>
  <c r="B216" i="3" a="1"/>
  <c r="C26" i="3" a="1"/>
  <c r="C389" i="3" a="1"/>
  <c r="C81" i="3" a="1"/>
  <c r="C271" i="3" a="1"/>
  <c r="C385" i="3" a="1"/>
  <c r="C93" i="3" a="1"/>
  <c r="C309" i="3" a="1"/>
  <c r="C360" i="3" a="1"/>
  <c r="B54" i="3" a="1"/>
  <c r="C96" i="3" a="1"/>
  <c r="B396" i="3" a="1"/>
  <c r="C256" i="3" a="1"/>
  <c r="B36" i="3" a="1"/>
  <c r="C84" i="3" a="1"/>
  <c r="C5" i="3" a="1"/>
  <c r="C355" i="3" a="1"/>
  <c r="B190" i="3" a="1"/>
  <c r="B212" i="3" a="1"/>
  <c r="C76" i="3" a="1"/>
  <c r="C275" i="3" a="1"/>
  <c r="B72" i="3" a="1"/>
  <c r="B374" i="3" a="1"/>
  <c r="B373" i="3" a="1"/>
  <c r="B343" i="3" a="1"/>
  <c r="B229" i="3" a="1"/>
  <c r="C305" i="3" a="1"/>
  <c r="B399" i="3" a="1"/>
  <c r="C345" i="3" a="1"/>
  <c r="C313" i="3" a="1"/>
  <c r="B205" i="3" a="1"/>
  <c r="B156" i="3" a="1"/>
  <c r="C233" i="3" a="1"/>
  <c r="B317" i="3" a="1"/>
  <c r="C111" i="3" a="1"/>
  <c r="C208" i="3" a="1"/>
  <c r="C53" i="3" a="1"/>
  <c r="B302" i="3" a="1"/>
  <c r="C89" i="3" a="1"/>
  <c r="B379" i="3" a="1"/>
  <c r="C372" i="3" a="1"/>
  <c r="B163" i="3" a="1"/>
  <c r="B75" i="3" a="1"/>
  <c r="B249" i="3" a="1"/>
  <c r="C11" i="3" a="1"/>
  <c r="B184" i="3" a="1"/>
  <c r="B165" i="3" a="1"/>
  <c r="C74" i="3" a="1"/>
  <c r="C102" i="3" a="1"/>
  <c r="B352" i="3" a="1"/>
  <c r="B115" i="3" a="1"/>
  <c r="C347" i="3" a="1"/>
  <c r="C107" i="3" a="1"/>
  <c r="C316" i="3" a="1"/>
  <c r="C7" i="3" a="1"/>
  <c r="C367" i="3" a="1"/>
  <c r="C364" i="3" a="1"/>
  <c r="B14" i="3" a="1"/>
  <c r="B392" i="3" a="1"/>
  <c r="C149" i="3" a="1"/>
  <c r="C315" i="3" a="1"/>
  <c r="C359" i="3" a="1"/>
  <c r="B351" i="3" a="1"/>
  <c r="B7" i="3" a="1"/>
  <c r="C119" i="3" a="1"/>
  <c r="C341" i="3" a="1"/>
  <c r="C98" i="3" a="1"/>
  <c r="B177" i="3" a="1"/>
  <c r="B248" i="3" a="1"/>
  <c r="C30" i="3" a="1"/>
  <c r="C296" i="3" a="1"/>
  <c r="C353" i="3" a="1"/>
  <c r="C154" i="3" a="1"/>
  <c r="B254" i="3" a="1"/>
  <c r="C155" i="3" a="1"/>
  <c r="B296" i="3" a="1"/>
  <c r="B137" i="3" a="1"/>
  <c r="C357" i="3" a="1"/>
  <c r="C156" i="3" a="1"/>
  <c r="C352" i="3" a="1"/>
  <c r="C282" i="3" a="1"/>
  <c r="B146" i="3" a="1"/>
  <c r="B371" i="3" a="1"/>
  <c r="C351" i="3" a="1"/>
  <c r="C301" i="3" a="1"/>
  <c r="B304" i="3" a="1"/>
  <c r="B326" i="3" a="1"/>
  <c r="B294" i="3" a="1"/>
  <c r="B154" i="3" a="1"/>
  <c r="C375" i="3" a="1"/>
  <c r="B67" i="3" a="1"/>
  <c r="C307" i="3" a="1"/>
  <c r="B376" i="3" a="1"/>
  <c r="C123" i="3" a="1"/>
  <c r="C151" i="3" a="1"/>
  <c r="B92" i="3" a="1"/>
  <c r="B330" i="3" a="1"/>
  <c r="B124" i="3" a="1"/>
  <c r="B185" i="3" a="1"/>
  <c r="B242" i="3" a="1"/>
  <c r="C246" i="3" a="1"/>
  <c r="C95" i="3" a="1"/>
  <c r="C392" i="3" a="1"/>
  <c r="C146" i="3" a="1"/>
  <c r="B157" i="3" a="1"/>
  <c r="C276" i="3" a="1"/>
  <c r="B43" i="3" a="1"/>
  <c r="B256" i="3" a="1"/>
  <c r="B130" i="3" a="1"/>
  <c r="B9" i="3" a="1"/>
  <c r="C394" i="3" a="1"/>
  <c r="C12" i="3" a="1"/>
  <c r="B261" i="3" a="1"/>
  <c r="B182" i="3" a="1"/>
  <c r="C132" i="3" a="1"/>
  <c r="C336" i="3" a="1"/>
  <c r="C329" i="3" a="1"/>
  <c r="B246" i="3" a="1"/>
  <c r="B348" i="3" a="1"/>
  <c r="B349" i="3" a="1"/>
  <c r="B174" i="3" a="1"/>
  <c r="C142" i="3" a="1"/>
  <c r="C207" i="3" a="1"/>
  <c r="C148" i="3" a="1"/>
  <c r="B203" i="3" a="1"/>
  <c r="B166" i="3" a="1"/>
  <c r="B86" i="3" a="1"/>
  <c r="B355" i="3" a="1"/>
  <c r="B277" i="3" a="1"/>
  <c r="B121" i="3" a="1"/>
  <c r="B236" i="3" a="1"/>
  <c r="C27" i="3" a="1"/>
  <c r="B335" i="3" a="1"/>
  <c r="C45" i="3" a="1"/>
  <c r="C130" i="3" a="1"/>
  <c r="C173" i="3" a="1"/>
  <c r="B160" i="3" a="1"/>
  <c r="C32" i="3" a="1"/>
  <c r="B234" i="3" a="1"/>
  <c r="B125" i="3" a="1"/>
  <c r="B333" i="3" a="1"/>
  <c r="B283" i="3" a="1"/>
  <c r="C122" i="3" a="1"/>
  <c r="B181" i="3" a="1"/>
  <c r="C366" i="3" a="1"/>
  <c r="C368" i="3" a="1"/>
  <c r="B46" i="3" a="1"/>
  <c r="B226" i="3" a="1"/>
  <c r="C254" i="3" a="1"/>
  <c r="C258" i="3" a="1"/>
  <c r="B102" i="3" a="1"/>
  <c r="C114" i="3" a="1"/>
  <c r="C243" i="3" a="1"/>
  <c r="B11" i="3" a="1"/>
  <c r="C381" i="3" a="1"/>
  <c r="C115" i="3" a="1"/>
  <c r="B244" i="3" a="1"/>
  <c r="C58" i="3" a="1"/>
  <c r="B207" i="3" a="1"/>
  <c r="B135" i="3" a="1"/>
  <c r="B147" i="3" a="1"/>
  <c r="C211" i="3" a="1"/>
  <c r="C127" i="3" a="1"/>
  <c r="B385" i="3" a="1"/>
  <c r="B297" i="3" a="1"/>
  <c r="B193" i="3" a="1"/>
  <c r="C40" i="3" a="1"/>
  <c r="C19" i="3" a="1"/>
  <c r="B42" i="3" a="1"/>
  <c r="B38" i="3" a="1"/>
  <c r="C6" i="3" a="1"/>
  <c r="C261" i="3" a="1"/>
  <c r="C337" i="3" a="1"/>
  <c r="B104" i="3" a="1"/>
  <c r="B360" i="3" a="1"/>
  <c r="C331" i="3" a="1"/>
  <c r="C235" i="3" a="1"/>
  <c r="C199" i="3" a="1"/>
  <c r="B250" i="3" a="1"/>
  <c r="B339" i="3" a="1"/>
  <c r="C317" i="3" a="1"/>
  <c r="B201" i="3" a="1"/>
  <c r="B265" i="3" a="1"/>
  <c r="C373" i="3" a="1"/>
  <c r="B264" i="3" a="1"/>
  <c r="C311" i="3" a="1"/>
  <c r="B328" i="3" a="1"/>
  <c r="B324" i="3" a="1"/>
  <c r="B68" i="3" a="1"/>
  <c r="C88" i="3" a="1"/>
  <c r="C63" i="3" a="1"/>
  <c r="B386" i="3" a="1"/>
  <c r="C126" i="3" a="1"/>
  <c r="B39" i="3" a="1"/>
  <c r="B266" i="3" a="1"/>
  <c r="C200" i="3" a="1"/>
  <c r="B384" i="3" a="1"/>
  <c r="C288" i="3" a="1"/>
  <c r="B138" i="3" a="1"/>
  <c r="B51" i="3" a="1"/>
  <c r="C72" i="3" a="1"/>
  <c r="C348" i="3" a="1"/>
  <c r="C227" i="3" a="1"/>
  <c r="B241" i="3" a="1"/>
  <c r="B353" i="3" a="1"/>
  <c r="B108" i="3" a="1"/>
  <c r="B286" i="3" a="1"/>
  <c r="B44" i="3" a="1"/>
  <c r="B98" i="3" a="1"/>
  <c r="B217" i="3" a="1"/>
  <c r="C92" i="3" a="1"/>
  <c r="C133" i="3" a="1"/>
  <c r="C314" i="3" a="1"/>
  <c r="C221" i="3" a="1"/>
  <c r="B331" i="3" a="1"/>
  <c r="C103" i="3" a="1"/>
  <c r="C318" i="3" a="1"/>
  <c r="C35" i="3" a="1"/>
  <c r="C48" i="3" a="1"/>
  <c r="C41" i="3" a="1"/>
  <c r="C286" i="3" a="1"/>
  <c r="B49" i="3" a="1"/>
  <c r="B48" i="3" a="1"/>
  <c r="B267" i="3" a="1"/>
  <c r="B260" i="3" a="1"/>
  <c r="B287" i="3" a="1"/>
  <c r="B90" i="3" a="1"/>
  <c r="C239" i="3" a="1"/>
  <c r="C159" i="3" a="1"/>
  <c r="C164" i="3" a="1"/>
  <c r="B19" i="3" a="1"/>
  <c r="C219" i="3" a="1"/>
  <c r="B197" i="3" a="1"/>
  <c r="B167" i="3" a="1"/>
  <c r="C214" i="3" a="1"/>
  <c r="C9" i="3" a="1"/>
  <c r="B66" i="3" a="1"/>
  <c r="B120" i="3" a="1"/>
  <c r="B140" i="3" a="1"/>
  <c r="B52" i="3" a="1"/>
  <c r="B389" i="3" a="1"/>
  <c r="C379" i="3" a="1"/>
  <c r="C33" i="3" a="1"/>
  <c r="B113" i="3" a="1"/>
  <c r="B346" i="3" a="1"/>
  <c r="B80" i="3" a="1"/>
  <c r="B282" i="3" a="1"/>
  <c r="B189" i="3" a="1"/>
  <c r="C18" i="3" a="1"/>
  <c r="C62" i="3" a="1"/>
  <c r="B77" i="3" a="1"/>
  <c r="C163" i="3" a="1"/>
  <c r="C260" i="3" a="1"/>
  <c r="B152" i="3" a="1"/>
  <c r="C240" i="3" a="1"/>
  <c r="B208" i="3" a="1"/>
  <c r="B271" i="3" a="1"/>
  <c r="C57" i="3" a="1"/>
  <c r="B164" i="3" a="1"/>
  <c r="C287" i="3" a="1"/>
  <c r="B33" i="3" a="1"/>
  <c r="C380" i="3" a="1"/>
  <c r="B161" i="3" a="1"/>
  <c r="B32" i="3" a="1"/>
  <c r="B111" i="3" a="1"/>
  <c r="B139" i="3" a="1"/>
  <c r="C38" i="3" a="1"/>
  <c r="B311" i="3" a="1"/>
  <c r="C54" i="3" a="1"/>
  <c r="C206" i="3" a="1"/>
  <c r="B289" i="3" a="1"/>
  <c r="C60" i="3" a="1"/>
  <c r="C97" i="3" a="1"/>
  <c r="C325" i="3" a="1"/>
  <c r="B272" i="3" a="1"/>
  <c r="C121" i="3" a="1"/>
  <c r="C201" i="3" a="1"/>
  <c r="C346" i="3" a="1"/>
  <c r="C10" i="3" a="1"/>
  <c r="B398" i="3" a="1"/>
  <c r="B240" i="3" a="1"/>
  <c r="C67" i="3" a="1"/>
  <c r="C43" i="3" a="1"/>
  <c r="B338" i="3" a="1"/>
  <c r="B367" i="3" a="1"/>
  <c r="B85" i="3" a="1"/>
  <c r="C202" i="3" a="1"/>
  <c r="C370" i="3" a="1"/>
  <c r="B158" i="3" a="1"/>
  <c r="B305" i="3" a="1"/>
  <c r="C384" i="3" a="1"/>
  <c r="C83" i="3" a="1"/>
  <c r="B93" i="3" a="1"/>
  <c r="C248" i="3" a="1"/>
  <c r="B145" i="3" a="1"/>
  <c r="B318" i="3" a="1"/>
  <c r="C272" i="3" a="1"/>
  <c r="B117" i="3" a="1"/>
  <c r="C178" i="3" a="1"/>
  <c r="B200" i="3" a="1"/>
  <c r="C222" i="3" a="1"/>
  <c r="B199" i="3" a="1"/>
  <c r="C180" i="3" a="1"/>
  <c r="C319" i="3" a="1"/>
  <c r="B327" i="3" a="1"/>
  <c r="B128" i="3" a="1"/>
  <c r="C204" i="3" a="1"/>
  <c r="C147" i="3" a="1"/>
  <c r="B377" i="3" a="1"/>
  <c r="B27" i="3" a="1"/>
  <c r="B383" i="3" a="1"/>
  <c r="B325" i="3" a="1"/>
  <c r="B100" i="3" a="1"/>
  <c r="C34" i="3" a="1"/>
  <c r="B300" i="3" a="1"/>
  <c r="C71" i="3" a="1"/>
  <c r="B17" i="3" a="1"/>
  <c r="C212" i="3" a="1"/>
  <c r="C230" i="3" a="1"/>
  <c r="B133" i="3" a="1"/>
  <c r="B393" i="3" a="1"/>
  <c r="B232" i="3" a="1"/>
  <c r="B12" i="3" a="1"/>
  <c r="B209" i="3" a="1"/>
  <c r="B34" i="3" a="1"/>
  <c r="C279" i="3" a="1"/>
  <c r="C145" i="3" a="1"/>
  <c r="C191" i="3" a="1"/>
  <c r="C338" i="3" a="1"/>
  <c r="E289" i="3" l="1"/>
  <c r="E331" i="3"/>
  <c r="E374" i="3"/>
  <c r="E172" i="3"/>
  <c r="E389" i="3"/>
  <c r="E39" i="3"/>
  <c r="E33" i="3"/>
  <c r="E353" i="3"/>
  <c r="E230" i="3"/>
  <c r="E183" i="3"/>
  <c r="E282" i="3"/>
  <c r="E281" i="3"/>
  <c r="E167" i="3"/>
  <c r="E176" i="3"/>
  <c r="E257" i="3"/>
  <c r="E258" i="3"/>
  <c r="E223" i="3"/>
  <c r="E349" i="3"/>
  <c r="E152" i="3"/>
  <c r="E382" i="3"/>
  <c r="E321" i="3"/>
  <c r="E246" i="3"/>
  <c r="E94" i="3"/>
  <c r="E58" i="3"/>
  <c r="E347" i="3"/>
  <c r="E292" i="3"/>
  <c r="E305" i="3"/>
  <c r="E164" i="3"/>
  <c r="E171" i="3"/>
  <c r="E67" i="3"/>
  <c r="E334" i="3"/>
  <c r="E229" i="3"/>
  <c r="E35" i="3"/>
  <c r="E269" i="3"/>
  <c r="E318" i="3"/>
  <c r="E77" i="3"/>
  <c r="E79" i="3"/>
  <c r="E157" i="3"/>
  <c r="E314" i="3"/>
  <c r="E29" i="3"/>
  <c r="E111" i="3"/>
  <c r="E215" i="3"/>
  <c r="E363" i="3"/>
  <c r="E207" i="3"/>
  <c r="E122" i="3"/>
  <c r="E360" i="3"/>
  <c r="E139" i="3"/>
  <c r="E20" i="3"/>
  <c r="E390" i="3"/>
  <c r="E219" i="3"/>
  <c r="E346" i="3"/>
  <c r="E168" i="3"/>
  <c r="E54" i="3"/>
  <c r="E117" i="3"/>
  <c r="E158" i="3"/>
  <c r="E148" i="3"/>
  <c r="E209" i="3"/>
  <c r="E254" i="3"/>
  <c r="E180" i="3"/>
  <c r="E188" i="3"/>
  <c r="E129" i="3"/>
  <c r="E193" i="3"/>
  <c r="E4" i="3"/>
  <c r="E205" i="3"/>
  <c r="E25" i="3"/>
  <c r="E270" i="3"/>
  <c r="E238" i="3"/>
  <c r="E262" i="3"/>
  <c r="E253" i="3"/>
  <c r="E125" i="3"/>
  <c r="E44" i="3"/>
  <c r="E279" i="3"/>
  <c r="E379" i="3"/>
  <c r="E143" i="3"/>
  <c r="E247" i="3"/>
  <c r="E381" i="3"/>
  <c r="E113" i="3"/>
  <c r="E394" i="3"/>
  <c r="E339" i="3"/>
  <c r="E362" i="3"/>
  <c r="E398" i="3"/>
  <c r="E356" i="3"/>
  <c r="E34" i="3"/>
  <c r="E123" i="3"/>
  <c r="E276" i="3"/>
  <c r="E3" i="3"/>
  <c r="E76" i="3"/>
  <c r="E265" i="3"/>
  <c r="E132" i="3"/>
  <c r="E178" i="3"/>
  <c r="E221" i="3"/>
  <c r="E12" i="3"/>
  <c r="E332" i="3"/>
  <c r="E17" i="3"/>
  <c r="E16" i="3"/>
  <c r="E197" i="3"/>
  <c r="E184" i="3"/>
  <c r="E109" i="3"/>
  <c r="E140" i="3"/>
  <c r="E11" i="3"/>
  <c r="E40" i="3"/>
  <c r="E311" i="3"/>
  <c r="E8" i="3"/>
  <c r="E322" i="3"/>
  <c r="E84" i="3"/>
  <c r="E304" i="3"/>
  <c r="E82" i="3"/>
  <c r="E226" i="3"/>
  <c r="E350" i="3"/>
  <c r="E155" i="3"/>
  <c r="E36" i="3"/>
  <c r="E22" i="3"/>
  <c r="E277" i="3"/>
  <c r="E61" i="3"/>
  <c r="E310" i="3"/>
  <c r="E367" i="3"/>
  <c r="E194" i="3"/>
  <c r="E302" i="3"/>
  <c r="E32" i="3"/>
  <c r="E48" i="3"/>
  <c r="E21" i="3"/>
  <c r="E19" i="3"/>
  <c r="E285" i="3"/>
  <c r="E59" i="3"/>
  <c r="E351" i="3"/>
  <c r="E37" i="3"/>
  <c r="E366" i="3"/>
  <c r="E341" i="3"/>
  <c r="E52" i="3"/>
  <c r="E306" i="3"/>
  <c r="E131" i="3"/>
  <c r="E115" i="3"/>
  <c r="E392" i="3"/>
  <c r="E182" i="3"/>
  <c r="E134" i="3"/>
  <c r="E309" i="3"/>
  <c r="E286" i="3"/>
  <c r="E153" i="3"/>
  <c r="E108" i="3"/>
  <c r="E324" i="3"/>
  <c r="E204" i="3"/>
  <c r="E317" i="3"/>
  <c r="E233" i="3"/>
  <c r="E251" i="3"/>
  <c r="E240" i="3"/>
  <c r="E81" i="3"/>
  <c r="E195" i="3"/>
  <c r="E162" i="3"/>
  <c r="E69" i="3"/>
  <c r="E42" i="3"/>
  <c r="E90" i="3"/>
  <c r="E273" i="3"/>
  <c r="E342" i="3"/>
  <c r="E55" i="3"/>
  <c r="E174" i="3"/>
  <c r="E86" i="3"/>
  <c r="E185" i="3"/>
  <c r="E267" i="3"/>
  <c r="E291" i="3"/>
  <c r="E190" i="3"/>
  <c r="E352" i="3"/>
  <c r="E252" i="3"/>
  <c r="E78" i="3"/>
  <c r="E154" i="3"/>
  <c r="E303" i="3"/>
  <c r="E85" i="3"/>
  <c r="E333" i="3"/>
  <c r="E137" i="3"/>
  <c r="E297" i="3"/>
  <c r="E166" i="3"/>
  <c r="E300" i="3"/>
  <c r="E201" i="3"/>
  <c r="E283" i="3"/>
  <c r="E146" i="3"/>
  <c r="E235" i="3"/>
  <c r="E371" i="3"/>
  <c r="E259" i="3"/>
  <c r="E135" i="3"/>
  <c r="E328" i="3"/>
  <c r="E271" i="3"/>
  <c r="E203" i="3"/>
  <c r="E93" i="3"/>
  <c r="E301" i="3"/>
  <c r="E45" i="3"/>
  <c r="E373" i="3"/>
  <c r="E103" i="3"/>
  <c r="E66" i="3"/>
  <c r="E227" i="3"/>
  <c r="E130" i="3"/>
  <c r="E128" i="3"/>
  <c r="E118" i="3"/>
  <c r="E397" i="3"/>
  <c r="E120" i="3"/>
  <c r="E260" i="3"/>
  <c r="E136" i="3"/>
  <c r="E142" i="3"/>
  <c r="E340" i="3"/>
  <c r="E96" i="3"/>
  <c r="E214" i="3"/>
  <c r="E236" i="3"/>
  <c r="E313" i="3"/>
  <c r="E114" i="3"/>
  <c r="E365" i="3"/>
  <c r="E24" i="3"/>
  <c r="E231" i="3"/>
  <c r="E316" i="3"/>
  <c r="E127" i="3"/>
  <c r="E107" i="3"/>
  <c r="E232" i="3"/>
  <c r="E361" i="3"/>
  <c r="E320" i="3"/>
  <c r="E272" i="3"/>
  <c r="E173" i="3"/>
  <c r="E192" i="3"/>
  <c r="E159" i="3"/>
  <c r="E243" i="3"/>
  <c r="E199" i="3"/>
  <c r="E28" i="3"/>
  <c r="E308" i="3"/>
  <c r="E80" i="3"/>
  <c r="E275" i="3"/>
  <c r="E104" i="3"/>
  <c r="E225" i="3"/>
  <c r="E87" i="3"/>
  <c r="E393" i="3"/>
  <c r="E116" i="3"/>
  <c r="E327" i="3"/>
  <c r="E100" i="3"/>
  <c r="E335" i="3"/>
  <c r="E217" i="3"/>
  <c r="E179" i="3"/>
  <c r="E206" i="3"/>
  <c r="E91" i="3"/>
  <c r="E307" i="3"/>
  <c r="E9" i="3"/>
  <c r="E329" i="3"/>
  <c r="E377" i="3"/>
  <c r="E218" i="3"/>
  <c r="E237" i="3"/>
  <c r="E72" i="3"/>
  <c r="E177" i="3"/>
  <c r="E2" i="3"/>
  <c r="E216" i="3"/>
  <c r="E354" i="3"/>
  <c r="E380" i="3"/>
  <c r="E268" i="3"/>
  <c r="E50" i="3"/>
  <c r="E62" i="3"/>
  <c r="E92" i="3"/>
  <c r="E337" i="3"/>
  <c r="E110" i="3"/>
  <c r="E386" i="3"/>
  <c r="E198" i="3"/>
  <c r="E70" i="3"/>
  <c r="E242" i="3"/>
  <c r="E336" i="3"/>
  <c r="E121" i="3"/>
  <c r="E10" i="3"/>
  <c r="E330" i="3"/>
  <c r="E228" i="3"/>
  <c r="E124" i="3"/>
  <c r="E211" i="3"/>
  <c r="E287" i="3"/>
  <c r="E355" i="3"/>
  <c r="E191" i="3"/>
  <c r="E338" i="3"/>
  <c r="E248" i="3"/>
  <c r="E6" i="3"/>
  <c r="E372" i="3"/>
  <c r="E208" i="3"/>
  <c r="E23" i="3"/>
  <c r="E151" i="3"/>
  <c r="E396" i="3"/>
  <c r="E395" i="3"/>
  <c r="E210" i="3"/>
  <c r="E5" i="3"/>
  <c r="E141" i="3"/>
  <c r="E83" i="3"/>
  <c r="E280" i="3"/>
  <c r="E106" i="3"/>
  <c r="E161" i="3"/>
  <c r="E64" i="3"/>
  <c r="E102" i="3"/>
  <c r="E160" i="3"/>
  <c r="E344" i="3"/>
  <c r="E375" i="3"/>
  <c r="E150" i="3"/>
  <c r="E119" i="3"/>
  <c r="E175" i="3"/>
  <c r="E299" i="3"/>
  <c r="E345" i="3"/>
  <c r="E368" i="3"/>
  <c r="E49" i="3"/>
  <c r="E97" i="3"/>
  <c r="E60" i="3"/>
  <c r="E30" i="3"/>
  <c r="E15" i="3"/>
  <c r="E138" i="3"/>
  <c r="E325" i="3"/>
  <c r="E326" i="3"/>
  <c r="E56" i="3"/>
  <c r="E189" i="3"/>
  <c r="E364" i="3"/>
  <c r="E245" i="3"/>
  <c r="E388" i="3"/>
  <c r="E244" i="3"/>
  <c r="E112" i="3"/>
  <c r="E46" i="3"/>
  <c r="E133" i="3"/>
  <c r="E284" i="3"/>
  <c r="E288" i="3"/>
  <c r="E224" i="3"/>
  <c r="E68" i="3"/>
  <c r="E200" i="3"/>
  <c r="E163" i="3"/>
  <c r="E65" i="3"/>
  <c r="E187" i="3"/>
  <c r="E88" i="3"/>
  <c r="E264" i="3"/>
  <c r="E165" i="3"/>
  <c r="E315" i="3"/>
  <c r="E293" i="3"/>
  <c r="E266" i="3"/>
  <c r="E369" i="3"/>
  <c r="E384" i="3"/>
  <c r="E41" i="3"/>
  <c r="E95" i="3"/>
  <c r="E18" i="3"/>
  <c r="E47" i="3"/>
  <c r="E370" i="3"/>
  <c r="E170" i="3"/>
  <c r="E73" i="3"/>
  <c r="E295" i="3"/>
  <c r="E250" i="3"/>
  <c r="E186" i="3"/>
  <c r="E385" i="3"/>
  <c r="E383" i="3"/>
  <c r="E234" i="3"/>
  <c r="E101" i="3"/>
  <c r="E89" i="3"/>
  <c r="E290" i="3"/>
  <c r="E31" i="3"/>
  <c r="E357" i="3"/>
  <c r="E98" i="3"/>
  <c r="E126" i="3"/>
  <c r="E27" i="3"/>
  <c r="E312" i="3"/>
  <c r="E278" i="3"/>
  <c r="E256" i="3"/>
  <c r="E57" i="3"/>
  <c r="E38" i="3"/>
  <c r="E99" i="3"/>
  <c r="E149" i="3"/>
  <c r="E294" i="3"/>
  <c r="E169" i="3"/>
  <c r="E348" i="3"/>
  <c r="E181" i="3"/>
  <c r="E13" i="3"/>
  <c r="E323" i="3"/>
  <c r="E261" i="3"/>
  <c r="E263" i="3"/>
  <c r="E7" i="3"/>
  <c r="E343" i="3"/>
  <c r="E75" i="3"/>
  <c r="E202" i="3"/>
  <c r="E222" i="3"/>
  <c r="E212" i="3"/>
  <c r="E71" i="3"/>
  <c r="E213" i="3"/>
  <c r="E43" i="3"/>
  <c r="E63" i="3"/>
  <c r="E241" i="3"/>
  <c r="E144" i="3"/>
  <c r="E399" i="3"/>
  <c r="E358" i="3"/>
  <c r="E391" i="3"/>
  <c r="E319" i="3"/>
  <c r="E51" i="3"/>
  <c r="E145" i="3"/>
  <c r="E53" i="3"/>
  <c r="E196" i="3"/>
  <c r="E298" i="3"/>
  <c r="E255" i="3"/>
  <c r="E359" i="3"/>
  <c r="E376" i="3"/>
  <c r="E156" i="3"/>
  <c r="E274" i="3"/>
  <c r="E220" i="3"/>
  <c r="E378" i="3"/>
  <c r="E249" i="3"/>
  <c r="E147" i="3"/>
  <c r="E296" i="3"/>
  <c r="E239" i="3"/>
  <c r="E105" i="3"/>
  <c r="E387" i="3"/>
  <c r="E26" i="3"/>
  <c r="E14" i="3"/>
  <c r="E74" i="3"/>
  <c r="C338" i="3"/>
  <c r="C191" i="3"/>
  <c r="C145" i="3"/>
  <c r="C279" i="3"/>
  <c r="B34" i="3"/>
  <c r="B209" i="3"/>
  <c r="B12" i="3"/>
  <c r="B232" i="3"/>
  <c r="B393" i="3"/>
  <c r="B133" i="3"/>
  <c r="C230" i="3"/>
  <c r="C212" i="3"/>
  <c r="B17" i="3"/>
  <c r="C71" i="3"/>
  <c r="B300" i="3"/>
  <c r="C34" i="3"/>
  <c r="B100" i="3"/>
  <c r="B325" i="3"/>
  <c r="B383" i="3"/>
  <c r="B27" i="3"/>
  <c r="B377" i="3"/>
  <c r="C147" i="3"/>
  <c r="C204" i="3"/>
  <c r="B128" i="3"/>
  <c r="B327" i="3"/>
  <c r="C319" i="3"/>
  <c r="C180" i="3"/>
  <c r="B199" i="3"/>
  <c r="C222" i="3"/>
  <c r="B200" i="3"/>
  <c r="C178" i="3"/>
  <c r="B117" i="3"/>
  <c r="C272" i="3"/>
  <c r="B318" i="3"/>
  <c r="B145" i="3"/>
  <c r="C248" i="3"/>
  <c r="B93" i="3"/>
  <c r="C83" i="3"/>
  <c r="C384" i="3"/>
  <c r="B305" i="3"/>
  <c r="B158" i="3"/>
  <c r="C370" i="3"/>
  <c r="C202" i="3"/>
  <c r="B85" i="3"/>
  <c r="B367" i="3"/>
  <c r="B338" i="3"/>
  <c r="C43" i="3"/>
  <c r="C67" i="3"/>
  <c r="B240" i="3"/>
  <c r="B398" i="3"/>
  <c r="C10" i="3"/>
  <c r="C346" i="3"/>
  <c r="C201" i="3"/>
  <c r="C121" i="3"/>
  <c r="B272" i="3"/>
  <c r="C325" i="3"/>
  <c r="C97" i="3"/>
  <c r="C60" i="3"/>
  <c r="B289" i="3"/>
  <c r="C206" i="3"/>
  <c r="C54" i="3"/>
  <c r="B311" i="3"/>
  <c r="C38" i="3"/>
  <c r="B139" i="3"/>
  <c r="B111" i="3"/>
  <c r="B32" i="3"/>
  <c r="B161" i="3"/>
  <c r="C380" i="3"/>
  <c r="B33" i="3"/>
  <c r="C287" i="3"/>
  <c r="B164" i="3"/>
  <c r="C57" i="3"/>
  <c r="B271" i="3"/>
  <c r="B208" i="3"/>
  <c r="C240" i="3"/>
  <c r="B152" i="3"/>
  <c r="C260" i="3"/>
  <c r="C163" i="3"/>
  <c r="B77" i="3"/>
  <c r="C62" i="3"/>
  <c r="C18" i="3"/>
  <c r="B189" i="3"/>
  <c r="B282" i="3"/>
  <c r="B80" i="3"/>
  <c r="B346" i="3"/>
  <c r="B113" i="3"/>
  <c r="C33" i="3"/>
  <c r="C379" i="3"/>
  <c r="B389" i="3"/>
  <c r="B52" i="3"/>
  <c r="B140" i="3"/>
  <c r="B120" i="3"/>
  <c r="B66" i="3"/>
  <c r="C9" i="3"/>
  <c r="C214" i="3"/>
  <c r="B167" i="3"/>
  <c r="B197" i="3"/>
  <c r="C219" i="3"/>
  <c r="B19" i="3"/>
  <c r="C164" i="3"/>
  <c r="C159" i="3"/>
  <c r="C239" i="3"/>
  <c r="B90" i="3"/>
  <c r="B287" i="3"/>
  <c r="B260" i="3"/>
  <c r="B267" i="3"/>
  <c r="B48" i="3"/>
  <c r="B49" i="3"/>
  <c r="C286" i="3"/>
  <c r="C41" i="3"/>
  <c r="C48" i="3"/>
  <c r="C35" i="3"/>
  <c r="C318" i="3"/>
  <c r="C103" i="3"/>
  <c r="B331" i="3"/>
  <c r="C221" i="3"/>
  <c r="C314" i="3"/>
  <c r="C133" i="3"/>
  <c r="C92" i="3"/>
  <c r="B217" i="3"/>
  <c r="B98" i="3"/>
  <c r="B44" i="3"/>
  <c r="B286" i="3"/>
  <c r="B108" i="3"/>
  <c r="B353" i="3"/>
  <c r="B241" i="3"/>
  <c r="C227" i="3"/>
  <c r="C348" i="3"/>
  <c r="C72" i="3"/>
  <c r="B51" i="3"/>
  <c r="B138" i="3"/>
  <c r="C288" i="3"/>
  <c r="B384" i="3"/>
  <c r="C200" i="3"/>
  <c r="B266" i="3"/>
  <c r="B39" i="3"/>
  <c r="C126" i="3"/>
  <c r="B386" i="3"/>
  <c r="C63" i="3"/>
  <c r="C88" i="3"/>
  <c r="B68" i="3"/>
  <c r="B324" i="3"/>
  <c r="B328" i="3"/>
  <c r="C311" i="3"/>
  <c r="B264" i="3"/>
  <c r="C373" i="3"/>
  <c r="B265" i="3"/>
  <c r="B201" i="3"/>
  <c r="C317" i="3"/>
  <c r="B339" i="3"/>
  <c r="B250" i="3"/>
  <c r="C199" i="3"/>
  <c r="C235" i="3"/>
  <c r="C331" i="3"/>
  <c r="B360" i="3"/>
  <c r="B104" i="3"/>
  <c r="C337" i="3"/>
  <c r="C261" i="3"/>
  <c r="C6" i="3"/>
  <c r="B38" i="3"/>
  <c r="B42" i="3"/>
  <c r="C19" i="3"/>
  <c r="C40" i="3"/>
  <c r="B193" i="3"/>
  <c r="B297" i="3"/>
  <c r="B385" i="3"/>
  <c r="C127" i="3"/>
  <c r="C211" i="3"/>
  <c r="B147" i="3"/>
  <c r="B135" i="3"/>
  <c r="B207" i="3"/>
  <c r="C58" i="3"/>
  <c r="B244" i="3"/>
  <c r="C115" i="3"/>
  <c r="C381" i="3"/>
  <c r="B11" i="3"/>
  <c r="C243" i="3"/>
  <c r="C114" i="3"/>
  <c r="B102" i="3"/>
  <c r="C258" i="3"/>
  <c r="C254" i="3"/>
  <c r="B226" i="3"/>
  <c r="B46" i="3"/>
  <c r="C368" i="3"/>
  <c r="C366" i="3"/>
  <c r="B181" i="3"/>
  <c r="C122" i="3"/>
  <c r="B283" i="3"/>
  <c r="B333" i="3"/>
  <c r="B125" i="3"/>
  <c r="B234" i="3"/>
  <c r="C32" i="3"/>
  <c r="B160" i="3"/>
  <c r="C173" i="3"/>
  <c r="C130" i="3"/>
  <c r="C45" i="3"/>
  <c r="B335" i="3"/>
  <c r="C27" i="3"/>
  <c r="B236" i="3"/>
  <c r="B121" i="3"/>
  <c r="B277" i="3"/>
  <c r="B355" i="3"/>
  <c r="B86" i="3"/>
  <c r="B166" i="3"/>
  <c r="B203" i="3"/>
  <c r="C148" i="3"/>
  <c r="C207" i="3"/>
  <c r="C142" i="3"/>
  <c r="B174" i="3"/>
  <c r="B349" i="3"/>
  <c r="B348" i="3"/>
  <c r="B246" i="3"/>
  <c r="C329" i="3"/>
  <c r="C336" i="3"/>
  <c r="C132" i="3"/>
  <c r="B182" i="3"/>
  <c r="B261" i="3"/>
  <c r="C12" i="3"/>
  <c r="C394" i="3"/>
  <c r="B9" i="3"/>
  <c r="B130" i="3"/>
  <c r="B256" i="3"/>
  <c r="B43" i="3"/>
  <c r="C276" i="3"/>
  <c r="B157" i="3"/>
  <c r="C146" i="3"/>
  <c r="C392" i="3"/>
  <c r="C95" i="3"/>
  <c r="C246" i="3"/>
  <c r="B242" i="3"/>
  <c r="B185" i="3"/>
  <c r="B124" i="3"/>
  <c r="B330" i="3"/>
  <c r="B92" i="3"/>
  <c r="C151" i="3"/>
  <c r="C123" i="3"/>
  <c r="B376" i="3"/>
  <c r="C307" i="3"/>
  <c r="B67" i="3"/>
  <c r="C375" i="3"/>
  <c r="B154" i="3"/>
  <c r="B294" i="3"/>
  <c r="B326" i="3"/>
  <c r="B304" i="3"/>
  <c r="C301" i="3"/>
  <c r="C351" i="3"/>
  <c r="B371" i="3"/>
  <c r="B146" i="3"/>
  <c r="C282" i="3"/>
  <c r="C352" i="3"/>
  <c r="C156" i="3"/>
  <c r="C357" i="3"/>
  <c r="B137" i="3"/>
  <c r="B296" i="3"/>
  <c r="C155" i="3"/>
  <c r="B254" i="3"/>
  <c r="C154" i="3"/>
  <c r="C353" i="3"/>
  <c r="C296" i="3"/>
  <c r="C30" i="3"/>
  <c r="B248" i="3"/>
  <c r="B177" i="3"/>
  <c r="C98" i="3"/>
  <c r="C341" i="3"/>
  <c r="C119" i="3"/>
  <c r="B7" i="3"/>
  <c r="B351" i="3"/>
  <c r="C359" i="3"/>
  <c r="C315" i="3"/>
  <c r="C149" i="3"/>
  <c r="B392" i="3"/>
  <c r="B14" i="3"/>
  <c r="C364" i="3"/>
  <c r="C367" i="3"/>
  <c r="C7" i="3"/>
  <c r="C316" i="3"/>
  <c r="C107" i="3"/>
  <c r="C347" i="3"/>
  <c r="B115" i="3"/>
  <c r="B352" i="3"/>
  <c r="C102" i="3"/>
  <c r="C74" i="3"/>
  <c r="B165" i="3"/>
  <c r="B184" i="3"/>
  <c r="C11" i="3"/>
  <c r="B249" i="3"/>
  <c r="B75" i="3"/>
  <c r="B163" i="3"/>
  <c r="C372" i="3"/>
  <c r="B379" i="3"/>
  <c r="C89" i="3"/>
  <c r="B302" i="3"/>
  <c r="C53" i="3"/>
  <c r="C208" i="3"/>
  <c r="C111" i="3"/>
  <c r="B317" i="3"/>
  <c r="C233" i="3"/>
  <c r="B156" i="3"/>
  <c r="B205" i="3"/>
  <c r="C313" i="3"/>
  <c r="C345" i="3"/>
  <c r="B399" i="3"/>
  <c r="C305" i="3"/>
  <c r="B229" i="3"/>
  <c r="B343" i="3"/>
  <c r="B373" i="3"/>
  <c r="B374" i="3"/>
  <c r="B72" i="3"/>
  <c r="C275" i="3"/>
  <c r="C76" i="3"/>
  <c r="B212" i="3"/>
  <c r="B190" i="3"/>
  <c r="C355" i="3"/>
  <c r="C5" i="3"/>
  <c r="C84" i="3"/>
  <c r="B36" i="3"/>
  <c r="C256" i="3"/>
  <c r="B396" i="3"/>
  <c r="C96" i="3"/>
  <c r="B54" i="3"/>
  <c r="C360" i="3"/>
  <c r="C309" i="3"/>
  <c r="C93" i="3"/>
  <c r="C385" i="3"/>
  <c r="C271" i="3"/>
  <c r="C81" i="3"/>
  <c r="C389" i="3"/>
  <c r="C26" i="3"/>
  <c r="B216" i="3"/>
  <c r="B362" i="3"/>
  <c r="B112" i="3"/>
  <c r="C141" i="3"/>
  <c r="C270" i="3"/>
  <c r="C66" i="3"/>
  <c r="C354" i="3"/>
  <c r="B215" i="3"/>
  <c r="C312" i="3"/>
  <c r="B258" i="3"/>
  <c r="C61" i="3"/>
  <c r="B320" i="3"/>
  <c r="B8" i="3"/>
  <c r="C304" i="3"/>
  <c r="C395" i="3"/>
  <c r="C335" i="3"/>
  <c r="C265" i="3"/>
  <c r="B337" i="3"/>
  <c r="C244" i="3"/>
  <c r="B23" i="3"/>
  <c r="C167" i="3"/>
  <c r="C175" i="3"/>
  <c r="C299" i="3"/>
  <c r="B202" i="3"/>
  <c r="C44" i="3"/>
  <c r="C172" i="3"/>
  <c r="B58" i="3"/>
  <c r="C177" i="3"/>
  <c r="B284" i="3"/>
  <c r="B153" i="3"/>
  <c r="B178" i="3"/>
  <c r="B148" i="3"/>
  <c r="B395" i="3"/>
  <c r="B47" i="3"/>
  <c r="C139" i="3"/>
  <c r="C358" i="3"/>
  <c r="B239" i="3"/>
  <c r="C183" i="3"/>
  <c r="B382" i="3"/>
  <c r="C193" i="3"/>
  <c r="C306" i="3"/>
  <c r="B65" i="3"/>
  <c r="B275" i="3"/>
  <c r="B5" i="3"/>
  <c r="B228" i="3"/>
  <c r="C153" i="3"/>
  <c r="B322" i="3"/>
  <c r="B278" i="3"/>
  <c r="B176" i="3"/>
  <c r="B91" i="3"/>
  <c r="B59" i="3"/>
  <c r="C150" i="3"/>
  <c r="B194" i="3"/>
  <c r="B131" i="3"/>
  <c r="C15" i="3"/>
  <c r="C165" i="3"/>
  <c r="B238" i="3"/>
  <c r="B141" i="3"/>
  <c r="B387" i="3"/>
  <c r="B107" i="3"/>
  <c r="B126" i="3"/>
  <c r="B359" i="3"/>
  <c r="B210" i="3"/>
  <c r="B188" i="3"/>
  <c r="C374" i="3"/>
  <c r="B149" i="3"/>
  <c r="C134" i="3"/>
  <c r="B295" i="3"/>
  <c r="B198" i="3"/>
  <c r="C228" i="3"/>
  <c r="B45" i="3"/>
  <c r="C399" i="3"/>
  <c r="B168" i="3"/>
  <c r="B191" i="3"/>
  <c r="B293" i="3"/>
  <c r="C273" i="3"/>
  <c r="C283" i="3"/>
  <c r="B170" i="3"/>
  <c r="C330" i="3"/>
  <c r="C59" i="3"/>
  <c r="B61" i="3"/>
  <c r="C82" i="3"/>
  <c r="C192" i="3"/>
  <c r="B334" i="3"/>
  <c r="C197" i="3"/>
  <c r="B235" i="3"/>
  <c r="B71" i="3"/>
  <c r="B366" i="3"/>
  <c r="C80" i="3"/>
  <c r="B3" i="3"/>
  <c r="C378" i="3"/>
  <c r="C140" i="3"/>
  <c r="B276" i="3"/>
  <c r="C264" i="3"/>
  <c r="C387" i="3"/>
  <c r="B173" i="3"/>
  <c r="C245" i="3"/>
  <c r="C241" i="3"/>
  <c r="B196" i="3"/>
  <c r="B114" i="3"/>
  <c r="B365" i="3"/>
  <c r="B74" i="3"/>
  <c r="B303" i="3"/>
  <c r="C269" i="3"/>
  <c r="C116" i="3"/>
  <c r="C174" i="3"/>
  <c r="C13" i="3"/>
  <c r="C292" i="3"/>
  <c r="C217" i="3"/>
  <c r="B21" i="3"/>
  <c r="B22" i="3"/>
  <c r="B129" i="3"/>
  <c r="B372" i="3"/>
  <c r="C247" i="3"/>
  <c r="C179" i="3"/>
  <c r="B122" i="3"/>
  <c r="B307" i="3"/>
  <c r="B342" i="3"/>
  <c r="B224" i="3"/>
  <c r="C124" i="3"/>
  <c r="B350" i="3"/>
  <c r="B274" i="3"/>
  <c r="B370" i="3"/>
  <c r="C339" i="3"/>
  <c r="B79" i="3"/>
  <c r="B41" i="3"/>
  <c r="C187" i="3"/>
  <c r="C293" i="3"/>
  <c r="C194" i="3"/>
  <c r="C182" i="3"/>
  <c r="C263" i="3"/>
  <c r="B347" i="3"/>
  <c r="C51" i="3"/>
  <c r="B4" i="3"/>
  <c r="C73" i="3"/>
  <c r="C326" i="3"/>
  <c r="C14" i="3"/>
  <c r="C320" i="3"/>
  <c r="C20" i="3"/>
  <c r="C220" i="3"/>
  <c r="B162" i="3"/>
  <c r="B388" i="3"/>
  <c r="C262" i="3"/>
  <c r="C393" i="3"/>
  <c r="B214" i="3"/>
  <c r="C138" i="3"/>
  <c r="B312" i="3"/>
  <c r="B237" i="3"/>
  <c r="C79" i="3"/>
  <c r="C349" i="3"/>
  <c r="B116" i="3"/>
  <c r="C277" i="3"/>
  <c r="B35" i="3"/>
  <c r="C196" i="3"/>
  <c r="B132" i="3"/>
  <c r="B6" i="3"/>
  <c r="B118" i="3"/>
  <c r="C302" i="3"/>
  <c r="C290" i="3"/>
  <c r="C29" i="3"/>
  <c r="C383" i="3"/>
  <c r="C216" i="3"/>
  <c r="B88" i="3"/>
  <c r="C86" i="3"/>
  <c r="C298" i="3"/>
  <c r="B24" i="3"/>
  <c r="C237" i="3"/>
  <c r="C250" i="3"/>
  <c r="C55" i="3"/>
  <c r="C152" i="3"/>
  <c r="C50" i="3"/>
  <c r="C376" i="3"/>
  <c r="C65" i="3"/>
  <c r="C310" i="3"/>
  <c r="B195" i="3"/>
  <c r="B180" i="3"/>
  <c r="B2" i="3"/>
  <c r="B247" i="3"/>
  <c r="C323" i="3"/>
  <c r="B219" i="3"/>
  <c r="C397" i="3"/>
  <c r="B26" i="3"/>
  <c r="C110" i="3"/>
  <c r="C289" i="3"/>
  <c r="C106" i="3"/>
  <c r="C137" i="3"/>
  <c r="B356" i="3"/>
  <c r="C321" i="3"/>
  <c r="B123" i="3"/>
  <c r="B142" i="3"/>
  <c r="C144" i="3"/>
  <c r="B213" i="3"/>
  <c r="B369" i="3"/>
  <c r="B218" i="3"/>
  <c r="C42" i="3"/>
  <c r="C255" i="3"/>
  <c r="C120" i="3"/>
  <c r="B56" i="3"/>
  <c r="C308" i="3"/>
  <c r="B223" i="3"/>
  <c r="B78" i="3"/>
  <c r="B81" i="3"/>
  <c r="C195" i="3"/>
  <c r="C253" i="3"/>
  <c r="B127" i="3"/>
  <c r="C166" i="3"/>
  <c r="B175" i="3"/>
  <c r="B221" i="3"/>
  <c r="B55" i="3"/>
  <c r="C117" i="3"/>
  <c r="C267" i="3"/>
  <c r="B53" i="3"/>
  <c r="C160" i="3"/>
  <c r="C340" i="3"/>
  <c r="B290" i="3"/>
  <c r="C85" i="3"/>
  <c r="C363" i="3"/>
  <c r="B28" i="3"/>
  <c r="C36" i="3"/>
  <c r="C171" i="3"/>
  <c r="C300" i="3"/>
  <c r="C224" i="3"/>
  <c r="C259" i="3"/>
  <c r="C189" i="3"/>
  <c r="C225" i="3"/>
  <c r="B361" i="3"/>
  <c r="C257" i="3"/>
  <c r="C236" i="3"/>
  <c r="C31" i="3"/>
  <c r="C388" i="3"/>
  <c r="C391" i="3"/>
  <c r="C52" i="3"/>
  <c r="C143" i="3"/>
  <c r="B105" i="3"/>
  <c r="B363" i="3"/>
  <c r="B110" i="3"/>
  <c r="C190" i="3"/>
  <c r="B315" i="3"/>
  <c r="C361" i="3"/>
  <c r="C382" i="3"/>
  <c r="B204" i="3"/>
  <c r="C47" i="3"/>
  <c r="B380" i="3"/>
  <c r="B70" i="3"/>
  <c r="B211" i="3"/>
  <c r="B394" i="3"/>
  <c r="B375" i="3"/>
  <c r="C37" i="3"/>
  <c r="B329" i="3"/>
  <c r="B186" i="3"/>
  <c r="B155" i="3"/>
  <c r="B314" i="3"/>
  <c r="C229" i="3"/>
  <c r="B262" i="3"/>
  <c r="C49" i="3"/>
  <c r="C176" i="3"/>
  <c r="B336" i="3"/>
  <c r="C386" i="3"/>
  <c r="C162" i="3"/>
  <c r="B279" i="3"/>
  <c r="B29" i="3"/>
  <c r="C2" i="3"/>
  <c r="B292" i="3"/>
  <c r="B94" i="3"/>
  <c r="C69" i="3"/>
  <c r="B321" i="3"/>
  <c r="C157" i="3"/>
  <c r="B25" i="3"/>
  <c r="B60" i="3"/>
  <c r="C213" i="3"/>
  <c r="B306" i="3"/>
  <c r="B309" i="3"/>
  <c r="B255" i="3"/>
  <c r="C344" i="3"/>
  <c r="C56" i="3"/>
  <c r="B245" i="3"/>
  <c r="B288" i="3"/>
  <c r="C24" i="3"/>
  <c r="B69" i="3"/>
  <c r="C108" i="3"/>
  <c r="C104" i="3"/>
  <c r="C231" i="3"/>
  <c r="B13" i="3"/>
  <c r="C185" i="3"/>
  <c r="B259" i="3"/>
  <c r="B171" i="3"/>
  <c r="C168" i="3"/>
  <c r="B150" i="3"/>
  <c r="B285" i="3"/>
  <c r="B230" i="3"/>
  <c r="C169" i="3"/>
  <c r="B31" i="3"/>
  <c r="C91" i="3"/>
  <c r="B298" i="3"/>
  <c r="C252" i="3"/>
  <c r="B106" i="3"/>
  <c r="C342" i="3"/>
  <c r="B179" i="3"/>
  <c r="B243" i="3"/>
  <c r="B332" i="3"/>
  <c r="C371" i="3"/>
  <c r="B16" i="3"/>
  <c r="C333" i="3"/>
  <c r="B233" i="3"/>
  <c r="B310" i="3"/>
  <c r="B144" i="3"/>
  <c r="B280" i="3"/>
  <c r="C70" i="3"/>
  <c r="B57" i="3"/>
  <c r="C21" i="3"/>
  <c r="C128" i="3"/>
  <c r="C78" i="3"/>
  <c r="B10" i="3"/>
  <c r="B206" i="3"/>
  <c r="B119" i="3"/>
  <c r="B222" i="3"/>
  <c r="B227" i="3"/>
  <c r="C105" i="3"/>
  <c r="B357" i="3"/>
  <c r="B37" i="3"/>
  <c r="C28" i="3"/>
  <c r="C249" i="3"/>
  <c r="C215" i="3"/>
  <c r="B390" i="3"/>
  <c r="C332" i="3"/>
  <c r="B62" i="3"/>
  <c r="C226" i="3"/>
  <c r="B82" i="3"/>
  <c r="C356" i="3"/>
  <c r="B87" i="3"/>
  <c r="B151" i="3"/>
  <c r="B291" i="3"/>
  <c r="C8" i="3"/>
  <c r="C285" i="3"/>
  <c r="B76" i="3"/>
  <c r="B269" i="3"/>
  <c r="B340" i="3"/>
  <c r="B316" i="3"/>
  <c r="C4" i="3"/>
  <c r="B301" i="3"/>
  <c r="C129" i="3"/>
  <c r="B89" i="3"/>
  <c r="B159" i="3"/>
  <c r="C75" i="3"/>
  <c r="B30" i="3"/>
  <c r="C242" i="3"/>
  <c r="C186" i="3"/>
  <c r="B368" i="3"/>
  <c r="C281" i="3"/>
  <c r="B84" i="3"/>
  <c r="C327" i="3"/>
  <c r="B364" i="3"/>
  <c r="C322" i="3"/>
  <c r="C294" i="3"/>
  <c r="B273" i="3"/>
  <c r="C238" i="3"/>
  <c r="B40" i="3"/>
  <c r="B183" i="3"/>
  <c r="B187" i="3"/>
  <c r="B136" i="3"/>
  <c r="C398" i="3"/>
  <c r="B257" i="3"/>
  <c r="B378" i="3"/>
  <c r="B134" i="3"/>
  <c r="C232" i="3"/>
  <c r="C16" i="3"/>
  <c r="C390" i="3"/>
  <c r="B281" i="3"/>
  <c r="B344" i="3"/>
  <c r="B391" i="3"/>
  <c r="C90" i="3"/>
  <c r="C136" i="3"/>
  <c r="C284" i="3"/>
  <c r="C109" i="3"/>
  <c r="B319" i="3"/>
  <c r="C362" i="3"/>
  <c r="B251" i="3"/>
  <c r="B169" i="3"/>
  <c r="B50" i="3"/>
  <c r="C131" i="3"/>
  <c r="B253" i="3"/>
  <c r="B20" i="3"/>
  <c r="C125" i="3"/>
  <c r="B381" i="3"/>
  <c r="C295" i="3"/>
  <c r="C266" i="3"/>
  <c r="B172" i="3"/>
  <c r="B103" i="3"/>
  <c r="B109" i="3"/>
  <c r="B397" i="3"/>
  <c r="B99" i="3"/>
  <c r="B323" i="3"/>
  <c r="B358" i="3"/>
  <c r="C184" i="3"/>
  <c r="C170" i="3"/>
  <c r="C23" i="3"/>
  <c r="B308" i="3"/>
  <c r="C343" i="3"/>
  <c r="C64" i="3"/>
  <c r="B313" i="3"/>
  <c r="C158" i="3"/>
  <c r="C118" i="3"/>
  <c r="B18" i="3"/>
  <c r="C99" i="3"/>
  <c r="B270" i="3"/>
  <c r="C234" i="3"/>
  <c r="B96" i="3"/>
  <c r="C274" i="3"/>
  <c r="C377" i="3"/>
  <c r="B73" i="3"/>
  <c r="C251" i="3"/>
  <c r="C350" i="3"/>
  <c r="B345" i="3"/>
  <c r="C369" i="3"/>
  <c r="B354" i="3"/>
  <c r="C223" i="3"/>
  <c r="C100" i="3"/>
  <c r="B63" i="3"/>
  <c r="C22" i="3"/>
  <c r="C198" i="3"/>
  <c r="C280" i="3"/>
  <c r="C210" i="3"/>
  <c r="C297" i="3"/>
  <c r="C3" i="3"/>
  <c r="B15" i="3"/>
  <c r="C205" i="3"/>
  <c r="B263" i="3"/>
  <c r="C278" i="3"/>
  <c r="C77" i="3"/>
  <c r="B97" i="3"/>
  <c r="B220" i="3"/>
  <c r="C324" i="3"/>
  <c r="B268" i="3"/>
  <c r="C112" i="3"/>
  <c r="C209" i="3"/>
  <c r="C94" i="3"/>
  <c r="C328" i="3"/>
  <c r="C135" i="3"/>
  <c r="B252" i="3"/>
  <c r="C39" i="3"/>
  <c r="C181" i="3"/>
  <c r="B64" i="3"/>
  <c r="C365" i="3"/>
  <c r="B299" i="3"/>
  <c r="C334" i="3"/>
  <c r="C188" i="3"/>
  <c r="B231" i="3"/>
  <c r="C46" i="3"/>
  <c r="C396" i="3"/>
  <c r="B225" i="3"/>
  <c r="B143" i="3"/>
  <c r="C203" i="3"/>
  <c r="B192" i="3"/>
  <c r="C68" i="3"/>
  <c r="C218" i="3"/>
  <c r="B341" i="3"/>
  <c r="B83" i="3"/>
  <c r="C303" i="3"/>
  <c r="C87" i="3"/>
  <c r="B95" i="3"/>
  <c r="C113" i="3"/>
  <c r="C101" i="3"/>
  <c r="B101" i="3"/>
  <c r="C17" i="3"/>
  <c r="C161" i="3"/>
  <c r="C268" i="3"/>
  <c r="C291" i="3"/>
  <c r="C2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6D0E2-E5DB-4924-991B-66EBAD6E683D}" keepAlive="1" name="クエリ - 400_j_pdf" description="ブック内の '400_j_pdf' クエリへの接続です。" type="5" refreshedVersion="8" background="1" saveData="1">
    <dbPr connection="Provider=Microsoft.Mashup.OleDb.1;Data Source=$Workbook$;Location=400_j_pdf;Extended Properties=&quot;&quot;" command="SELECT * FROM [400_j_pd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<sst xmlns="http://schemas.openxmlformats.org/spreadsheetml/2006/main" count="813" uniqueCount="416">
  <si>
    <t>ソフトバンク</t>
  </si>
  <si>
    <t>銘柄名称</t>
    <phoneticPr fontId="1"/>
  </si>
  <si>
    <t>任天堂</t>
  </si>
  <si>
    <t>銘柄名</t>
  </si>
  <si>
    <t>ニッスイ</t>
  </si>
  <si>
    <t>ショーボンドホールディングス</t>
  </si>
  <si>
    <t>タマホーム</t>
  </si>
  <si>
    <t>三井松島ホールディングス</t>
  </si>
  <si>
    <t>石油資源開発</t>
  </si>
  <si>
    <t>安藤・間</t>
  </si>
  <si>
    <t>コムシスホールディングス</t>
  </si>
  <si>
    <t>大成建設</t>
  </si>
  <si>
    <t>大林組</t>
  </si>
  <si>
    <t>長谷工コーポレーション</t>
  </si>
  <si>
    <t>鹿島建設</t>
  </si>
  <si>
    <t>大東建託</t>
  </si>
  <si>
    <t>住友林業</t>
  </si>
  <si>
    <t>大和ハウス工業</t>
  </si>
  <si>
    <t>積水ハウス</t>
  </si>
  <si>
    <t>関電工</t>
  </si>
  <si>
    <t>エクシオグループ</t>
  </si>
  <si>
    <t>高砂熱学工業</t>
  </si>
  <si>
    <t>ジェイエイシーリクルートメント</t>
  </si>
  <si>
    <t>日本Ｍ＆Ａセンターホールディングス</t>
  </si>
  <si>
    <t>オープンアップグループ</t>
  </si>
  <si>
    <t>パソナグループ</t>
  </si>
  <si>
    <t>パーソルホールディングス</t>
  </si>
  <si>
    <t>森永製菓</t>
  </si>
  <si>
    <t>寿スピリッツ</t>
  </si>
  <si>
    <t>カルビー</t>
  </si>
  <si>
    <t>森永乳業</t>
  </si>
  <si>
    <t>ヤクルト本社</t>
  </si>
  <si>
    <t>明治ホールディングス</t>
  </si>
  <si>
    <t>システナ</t>
  </si>
  <si>
    <t>日鉄ソリューションズ</t>
  </si>
  <si>
    <t>カカクコム</t>
  </si>
  <si>
    <t>ディップ</t>
  </si>
  <si>
    <t>ＳＢＳホールディングス</t>
  </si>
  <si>
    <t>エムスリー</t>
  </si>
  <si>
    <t>アサヒグループホールディングス</t>
  </si>
  <si>
    <t>キリンホールディングス</t>
  </si>
  <si>
    <t>宝ホールディングス</t>
  </si>
  <si>
    <t>サントリー食品インターナショナル</t>
  </si>
  <si>
    <t>エービーシー・マート</t>
  </si>
  <si>
    <t>アスクル</t>
  </si>
  <si>
    <t>日本マクドナルドホールディングス</t>
  </si>
  <si>
    <t>パルグループホールディングス</t>
  </si>
  <si>
    <t>東京エレクトロン デバイス</t>
  </si>
  <si>
    <t>円谷フィールズホールディングス</t>
  </si>
  <si>
    <t>双日</t>
  </si>
  <si>
    <t>キッコーマン</t>
  </si>
  <si>
    <t>味の素</t>
  </si>
  <si>
    <t>カゴメ</t>
  </si>
  <si>
    <t>ニチレイ</t>
  </si>
  <si>
    <t>東洋水産</t>
  </si>
  <si>
    <t>日清食品ホールディングス</t>
  </si>
  <si>
    <t>日本たばこ産業</t>
  </si>
  <si>
    <t>ヒューリック</t>
  </si>
  <si>
    <t>神戸物産</t>
  </si>
  <si>
    <t>マツキヨココカラ＆カンパニー</t>
  </si>
  <si>
    <t>ダイワボウホールディングス</t>
  </si>
  <si>
    <t>トヨタ紡織</t>
  </si>
  <si>
    <t>マクニカホールディングス</t>
  </si>
  <si>
    <t>ネクステージ</t>
  </si>
  <si>
    <t>野村不動産ホールディングス</t>
  </si>
  <si>
    <t>オープンハウスグループ</t>
  </si>
  <si>
    <t>東急不動産ホールディングス</t>
  </si>
  <si>
    <t>飯田グループホールディングス</t>
  </si>
  <si>
    <t>コスモス薬品</t>
  </si>
  <si>
    <t>シップヘルスケアホールディングス</t>
  </si>
  <si>
    <t>セブン＆アイ・ホールディングス</t>
  </si>
  <si>
    <t>ツルハホールディングス</t>
  </si>
  <si>
    <t>東レ</t>
  </si>
  <si>
    <t>クラレ</t>
  </si>
  <si>
    <t>ケイアイスター不動産</t>
  </si>
  <si>
    <t>クスリのアオキホールディングス</t>
  </si>
  <si>
    <t>コーエーテクモホールディングス</t>
  </si>
  <si>
    <t>ネクソン</t>
  </si>
  <si>
    <t>ガンホー・オンライン・エンターテイメント</t>
  </si>
  <si>
    <t>インターネットイニシアティブ</t>
  </si>
  <si>
    <t>王子ホールディングス</t>
  </si>
  <si>
    <t>ラクス</t>
  </si>
  <si>
    <t>レゾナック・ホールディングス</t>
  </si>
  <si>
    <t>日産化学</t>
  </si>
  <si>
    <t>東ソー</t>
  </si>
  <si>
    <t>イビデン</t>
  </si>
  <si>
    <t>信越化学工業</t>
  </si>
  <si>
    <t>エア・ウォーター</t>
  </si>
  <si>
    <t>日本酸素ホールディングス</t>
  </si>
  <si>
    <t>協和キリン</t>
  </si>
  <si>
    <t>三菱瓦斯化学</t>
  </si>
  <si>
    <t>三井化学</t>
  </si>
  <si>
    <t>東京応化工業</t>
  </si>
  <si>
    <t>三菱ケミカルグループ</t>
  </si>
  <si>
    <t>ビジョナル</t>
  </si>
  <si>
    <t>ダイセル</t>
  </si>
  <si>
    <t>住友ベークライト</t>
  </si>
  <si>
    <t>積水化学工業</t>
  </si>
  <si>
    <t>野村総合研究所</t>
  </si>
  <si>
    <t>メルカリ</t>
  </si>
  <si>
    <t>日油</t>
  </si>
  <si>
    <t>花王</t>
  </si>
  <si>
    <t>アステラス製薬</t>
  </si>
  <si>
    <t>塩野義製薬</t>
  </si>
  <si>
    <t>日本新薬</t>
  </si>
  <si>
    <t>中外製薬</t>
  </si>
  <si>
    <t>エーザイ</t>
  </si>
  <si>
    <t>ロート製薬</t>
  </si>
  <si>
    <t>小野薬品工業</t>
  </si>
  <si>
    <t>テルモ</t>
  </si>
  <si>
    <t>第一三共</t>
  </si>
  <si>
    <t>大塚ホールディングス</t>
  </si>
  <si>
    <t>ペプチドリーム</t>
  </si>
  <si>
    <t>日本ペイントホールディングス</t>
  </si>
  <si>
    <t>関西ペイント</t>
  </si>
  <si>
    <t>太陽ホールディングス</t>
  </si>
  <si>
    <t>オリエンタルランド</t>
  </si>
  <si>
    <t>パーク２４</t>
  </si>
  <si>
    <t>ラウンドワン</t>
  </si>
  <si>
    <t>リゾートトラスト</t>
  </si>
  <si>
    <t>オービック</t>
  </si>
  <si>
    <t>ジャストシステム</t>
  </si>
  <si>
    <t>トレンドマイクロ</t>
  </si>
  <si>
    <t>日本オラクル</t>
  </si>
  <si>
    <t>フューチャー</t>
  </si>
  <si>
    <t>ユー・エス・エス</t>
  </si>
  <si>
    <t>大塚商会</t>
  </si>
  <si>
    <t>電通総研</t>
  </si>
  <si>
    <t>東映アニメーション</t>
  </si>
  <si>
    <t>富士フイルムホールディングス</t>
  </si>
  <si>
    <t>ライオン</t>
  </si>
  <si>
    <t>小林製薬</t>
  </si>
  <si>
    <t>デクセリアルズ</t>
  </si>
  <si>
    <t>出光興産</t>
  </si>
  <si>
    <t>コスモエネルギーホールディングス</t>
  </si>
  <si>
    <t>ＡＮＹＣＯＬＯＲ</t>
  </si>
  <si>
    <t>インフロニア・ホールディングス</t>
  </si>
  <si>
    <t>横浜ゴム</t>
  </si>
  <si>
    <t>ＴＯＹＯ ＴＩＲＥ</t>
  </si>
  <si>
    <t>ブリヂストン</t>
  </si>
  <si>
    <t>日本碍子</t>
  </si>
  <si>
    <t>日本特殊陶業</t>
  </si>
  <si>
    <t>ＭＡＲＵＷＡ</t>
  </si>
  <si>
    <t>ニチアス</t>
  </si>
  <si>
    <t>日本製鉄</t>
  </si>
  <si>
    <t>神戸製鋼所</t>
  </si>
  <si>
    <t>ＪＦＥホールディングス</t>
  </si>
  <si>
    <t>東京製鐵</t>
  </si>
  <si>
    <t>大和工業</t>
  </si>
  <si>
    <t>大同特殊鋼</t>
  </si>
  <si>
    <t>日本冶金工業</t>
  </si>
  <si>
    <t>住友金属鉱山</t>
  </si>
  <si>
    <t>ＤＯＷＡホールディングス</t>
  </si>
  <si>
    <t>住友電気工業</t>
  </si>
  <si>
    <t>フジクラ</t>
  </si>
  <si>
    <t>ＳＷＣＣ</t>
  </si>
  <si>
    <t>三和ホールディングス</t>
  </si>
  <si>
    <t>リンナイ</t>
  </si>
  <si>
    <t>日本発條</t>
  </si>
  <si>
    <t>三浦工業</t>
  </si>
  <si>
    <t>リクルートホールディングス</t>
  </si>
  <si>
    <t>ツガミ</t>
  </si>
  <si>
    <t>アマダ</t>
  </si>
  <si>
    <t>ディスコ</t>
  </si>
  <si>
    <t>豊田自動織機</t>
  </si>
  <si>
    <t>野村マイクロ・サイエンス</t>
  </si>
  <si>
    <t>三井海洋開発</t>
  </si>
  <si>
    <t>小松製作所</t>
  </si>
  <si>
    <t>日立建機</t>
  </si>
  <si>
    <t>ローツェ</t>
  </si>
  <si>
    <t>クボタ</t>
  </si>
  <si>
    <t>荏原製作所</t>
  </si>
  <si>
    <t>ダイキン工業</t>
  </si>
  <si>
    <t>オルガノ</t>
  </si>
  <si>
    <t>ダイフク</t>
  </si>
  <si>
    <t>竹内製作所</t>
  </si>
  <si>
    <t>アマノ</t>
  </si>
  <si>
    <t>ブラザー工業</t>
  </si>
  <si>
    <t>セガサミーホールディングス</t>
  </si>
  <si>
    <t>ホシザキ</t>
  </si>
  <si>
    <t>ミネベアミツミ</t>
  </si>
  <si>
    <t>日立製作所</t>
  </si>
  <si>
    <t>三菱電機</t>
  </si>
  <si>
    <t>富士電機</t>
  </si>
  <si>
    <t>安川電機</t>
  </si>
  <si>
    <t>ジャパンエレベーターサービスホールディングス</t>
  </si>
  <si>
    <t>マキタ</t>
  </si>
  <si>
    <t>芝浦メカトロニクス</t>
  </si>
  <si>
    <t>ＪＶＣケンウッド</t>
  </si>
  <si>
    <t>オムロン</t>
  </si>
  <si>
    <t>ＭＣＪ</t>
  </si>
  <si>
    <t>日本電気</t>
  </si>
  <si>
    <t>富士通</t>
  </si>
  <si>
    <t>サンケン電気</t>
  </si>
  <si>
    <t>ルネサスエレクトロニクス</t>
  </si>
  <si>
    <t>セイコーエプソン</t>
  </si>
  <si>
    <t>アルバック</t>
  </si>
  <si>
    <t>ソニーグループ</t>
  </si>
  <si>
    <t>メイコー</t>
  </si>
  <si>
    <t>ヒロセ電機</t>
  </si>
  <si>
    <t>横河電機</t>
  </si>
  <si>
    <t>アズビル</t>
  </si>
  <si>
    <t>日本光電工業</t>
  </si>
  <si>
    <t>堀場製作所</t>
  </si>
  <si>
    <t>アドバンテスト</t>
  </si>
  <si>
    <t>キーエンス</t>
  </si>
  <si>
    <t>シスメックス</t>
  </si>
  <si>
    <t>デンソー</t>
  </si>
  <si>
    <t>レーザーテック</t>
  </si>
  <si>
    <t>日本電子</t>
  </si>
  <si>
    <t>ファナック</t>
  </si>
  <si>
    <t>浜松ホトニクス</t>
  </si>
  <si>
    <t>三井ハイテック</t>
  </si>
  <si>
    <t>村田製作所</t>
  </si>
  <si>
    <t>日東電工</t>
  </si>
  <si>
    <t>三井Ｅ＆Ｓ</t>
  </si>
  <si>
    <t>カナデビア</t>
  </si>
  <si>
    <t>三菱重工業</t>
  </si>
  <si>
    <t>川崎重工業</t>
  </si>
  <si>
    <t>ＩＨＩ</t>
  </si>
  <si>
    <t>名村造船所</t>
  </si>
  <si>
    <t>三菱ロジスネクスト</t>
  </si>
  <si>
    <t>ＦＰＧ</t>
  </si>
  <si>
    <t>全国保証</t>
  </si>
  <si>
    <t>めぶきフィナンシャルグループ</t>
  </si>
  <si>
    <t>いすゞ自動車</t>
  </si>
  <si>
    <t>トヨタ自動車</t>
  </si>
  <si>
    <t>三菱自動車工業</t>
  </si>
  <si>
    <t>アイシン</t>
  </si>
  <si>
    <t>マツダ</t>
  </si>
  <si>
    <t>本田技研工業</t>
  </si>
  <si>
    <t>スズキ</t>
  </si>
  <si>
    <t>ＳＵＢＡＲＵ</t>
  </si>
  <si>
    <t>ヤマハ発動機</t>
  </si>
  <si>
    <t>小糸製作所</t>
  </si>
  <si>
    <t>豊田合成</t>
  </si>
  <si>
    <t>シマノ</t>
  </si>
  <si>
    <t>ノジマ</t>
  </si>
  <si>
    <t>良品計画</t>
  </si>
  <si>
    <t>メディパルホールディングス</t>
  </si>
  <si>
    <t>パン・パシフィック・インターナショナルホールディングス</t>
  </si>
  <si>
    <t>ゼンショーホールディングス</t>
  </si>
  <si>
    <t>ワークマン</t>
  </si>
  <si>
    <t>スギホールディングス</t>
  </si>
  <si>
    <t>島津製作所</t>
  </si>
  <si>
    <t>ナカニシ</t>
  </si>
  <si>
    <t>東京精密</t>
  </si>
  <si>
    <t>オリンパス</t>
  </si>
  <si>
    <t>タムロン</t>
  </si>
  <si>
    <t>ノーリツ鋼機</t>
  </si>
  <si>
    <t>朝日インテック</t>
  </si>
  <si>
    <t>キヤノン</t>
  </si>
  <si>
    <t>シチズン時計</t>
  </si>
  <si>
    <t>バンダイナムコホールディングス</t>
  </si>
  <si>
    <t>パイロットコーポレーション</t>
  </si>
  <si>
    <t>タカラトミー</t>
  </si>
  <si>
    <t>ヨネックス</t>
  </si>
  <si>
    <t>大日本印刷</t>
  </si>
  <si>
    <t>アシックス</t>
  </si>
  <si>
    <t>ローランド</t>
  </si>
  <si>
    <t>ヤマハ</t>
  </si>
  <si>
    <t>ニフコ</t>
  </si>
  <si>
    <t>オカムラ</t>
  </si>
  <si>
    <t>伊藤忠商事</t>
  </si>
  <si>
    <t>丸紅</t>
  </si>
  <si>
    <t>豊田通商</t>
  </si>
  <si>
    <t>兼松</t>
  </si>
  <si>
    <t>三井物産</t>
  </si>
  <si>
    <t>東京エレクトロン</t>
  </si>
  <si>
    <t>住友商事</t>
  </si>
  <si>
    <t>三菱商事</t>
  </si>
  <si>
    <t>キヤノンマーケティングジャパン</t>
  </si>
  <si>
    <t>阪和興業</t>
  </si>
  <si>
    <t>岩谷産業</t>
  </si>
  <si>
    <t>稲畑産業</t>
  </si>
  <si>
    <t>ゴールドウイン</t>
  </si>
  <si>
    <t>ユニ・チャーム</t>
  </si>
  <si>
    <t>サンゲツ</t>
  </si>
  <si>
    <t>伊藤忠エネクス</t>
  </si>
  <si>
    <t>サンリオ</t>
  </si>
  <si>
    <t>加賀電子</t>
  </si>
  <si>
    <t>日本瓦斯</t>
  </si>
  <si>
    <t>ライフコーポレーション</t>
  </si>
  <si>
    <t>しまむら</t>
  </si>
  <si>
    <t>丸井グループ</t>
  </si>
  <si>
    <t>クレディセゾン</t>
  </si>
  <si>
    <t>りそなホールディングス</t>
  </si>
  <si>
    <t>三井住友フィナンシャルグループ</t>
  </si>
  <si>
    <t>千葉銀行</t>
  </si>
  <si>
    <t>ふくおかフィナンシャルグループ</t>
  </si>
  <si>
    <t>セブン銀行</t>
  </si>
  <si>
    <t>みずほフィナンシャルグループ</t>
  </si>
  <si>
    <t>芙蓉総合リース</t>
  </si>
  <si>
    <t>みずほリース</t>
  </si>
  <si>
    <t>東京センチュリー</t>
  </si>
  <si>
    <t>ＳＢＩホールディングス</t>
  </si>
  <si>
    <t>アイフル</t>
  </si>
  <si>
    <t>アコム</t>
  </si>
  <si>
    <t>ジャックス</t>
  </si>
  <si>
    <t>オリックス</t>
  </si>
  <si>
    <t>大和証券グループ本社</t>
  </si>
  <si>
    <t>野村ホールディングス</t>
  </si>
  <si>
    <t>ＳＯＭＰＯホールディングス</t>
  </si>
  <si>
    <t>日本取引所グループ</t>
  </si>
  <si>
    <t>第一生命ホールディングス</t>
  </si>
  <si>
    <t>東京海上ホールディングス</t>
  </si>
  <si>
    <t>三井不動産</t>
  </si>
  <si>
    <t>三菱地所</t>
  </si>
  <si>
    <t>東京建物</t>
  </si>
  <si>
    <t>住友不動産</t>
  </si>
  <si>
    <t>レオパレス２１</t>
  </si>
  <si>
    <t>スターツコーポレーション</t>
  </si>
  <si>
    <t>リログループ</t>
  </si>
  <si>
    <t>カチタス</t>
  </si>
  <si>
    <t>トーセイ</t>
  </si>
  <si>
    <t>東急</t>
  </si>
  <si>
    <t>京浜急行電鉄</t>
  </si>
  <si>
    <t>小田急電鉄</t>
  </si>
  <si>
    <t>京王電鉄</t>
  </si>
  <si>
    <t>京成電鉄</t>
  </si>
  <si>
    <t>西日本旅客鉄道</t>
  </si>
  <si>
    <t>東海旅客鉄道</t>
  </si>
  <si>
    <t>西武ホールディングス</t>
  </si>
  <si>
    <t>近鉄グループホールディングス</t>
  </si>
  <si>
    <t>ヤマトホールディングス</t>
  </si>
  <si>
    <t>山九</t>
  </si>
  <si>
    <t>センコーグループホールディングス</t>
  </si>
  <si>
    <t>日本郵船</t>
  </si>
  <si>
    <t>商船三井</t>
  </si>
  <si>
    <t>川崎汽船</t>
  </si>
  <si>
    <t>ＮＳユナイテッド海運</t>
  </si>
  <si>
    <t>飯野海運</t>
  </si>
  <si>
    <t>九州旅客鉄道</t>
  </si>
  <si>
    <t>ＳＧホールディングス</t>
  </si>
  <si>
    <t>日本航空</t>
  </si>
  <si>
    <t>ＡＮＡホールディングス</t>
  </si>
  <si>
    <t>三井倉庫ホールディングス</t>
  </si>
  <si>
    <t>光通信</t>
  </si>
  <si>
    <t>中部電力</t>
  </si>
  <si>
    <t>関西電力</t>
  </si>
  <si>
    <t>東北電力</t>
  </si>
  <si>
    <t>四国電力</t>
  </si>
  <si>
    <t>九州電力</t>
  </si>
  <si>
    <t>北海道電力</t>
  </si>
  <si>
    <t>電源開発</t>
  </si>
  <si>
    <t>東京瓦斯</t>
  </si>
  <si>
    <t>大阪瓦斯</t>
  </si>
  <si>
    <t>東宝</t>
  </si>
  <si>
    <t>スクウェア・エニックス・ホールディングス</t>
  </si>
  <si>
    <t>カプコン</t>
  </si>
  <si>
    <t>セコム</t>
  </si>
  <si>
    <t>メイテックグループホールディングス</t>
  </si>
  <si>
    <t>ＮＳＤ</t>
  </si>
  <si>
    <t>コナミグループ</t>
  </si>
  <si>
    <t>ニトリホールディングス</t>
  </si>
  <si>
    <t>ミスミグループ本社</t>
  </si>
  <si>
    <t>ファーストリテイリング</t>
  </si>
  <si>
    <t>ソフトバンクグループ</t>
  </si>
  <si>
    <t>サンドラッグ</t>
  </si>
  <si>
    <t>現在値</t>
    <phoneticPr fontId="1"/>
  </si>
  <si>
    <t>コード</t>
  </si>
  <si>
    <t>市場区分</t>
  </si>
  <si>
    <t>Column3</t>
  </si>
  <si>
    <t>Column4</t>
  </si>
  <si>
    <t>累積採用回数</t>
  </si>
  <si>
    <t>プライム</t>
  </si>
  <si>
    <t>ＩＮＰＥＸ</t>
  </si>
  <si>
    <t>クラフティア</t>
  </si>
  <si>
    <t>アンドエスティＨＤ</t>
  </si>
  <si>
    <t>スタンダード</t>
  </si>
  <si>
    <t>ＭｏｎｏｔａＲＯ</t>
  </si>
  <si>
    <t>Ｊ．フロント</t>
  </si>
  <si>
    <t>リテイリング</t>
  </si>
  <si>
    <t>ＺＯＺＯ</t>
  </si>
  <si>
    <t>クリエイトＳＤホールディングス</t>
  </si>
  <si>
    <t>ＳＵＭＣＯ</t>
  </si>
  <si>
    <t>ＦＯＯＤ</t>
  </si>
  <si>
    <t>＆ ＬＩＦＥ</t>
  </si>
  <si>
    <t>ＣＯＭＰＡＮＩＥＳ</t>
  </si>
  <si>
    <t>ＴＩＳ</t>
  </si>
  <si>
    <t>ＳＨＩＦＴ</t>
  </si>
  <si>
    <t>ＧＭＯペイメントゲートウェイ</t>
  </si>
  <si>
    <t>ＡＤＥＫＡ</t>
  </si>
  <si>
    <t>ＬＩＮＥヤフー</t>
  </si>
  <si>
    <t>ＥＮＥＯＳホールディングス</t>
  </si>
  <si>
    <t>ＴＯＴＯ</t>
  </si>
  <si>
    <t>三井金属</t>
  </si>
  <si>
    <t>ＡＲＥホールディングス</t>
  </si>
  <si>
    <t>ＤＭＧ森精機</t>
  </si>
  <si>
    <t>ＳＭＣ</t>
  </si>
  <si>
    <t>ＳＡＮＫＹＯ</t>
  </si>
  <si>
    <t>ベイカレント</t>
  </si>
  <si>
    <t>パナソニック ホールディングス</t>
  </si>
  <si>
    <t>ＴＤＫ</t>
  </si>
  <si>
    <t>横浜フィナンシャルグループ</t>
  </si>
  <si>
    <t>ＩＤＯＭ</t>
  </si>
  <si>
    <t>ＳＣＲＥＥＮホールディングス</t>
  </si>
  <si>
    <t>ＨＯＹＡ</t>
  </si>
  <si>
    <t>ＢＩＰＲＯＧＹ</t>
  </si>
  <si>
    <t>三菱ＵＦＪフィナンシャル・グループ</t>
  </si>
  <si>
    <t>三井住友トラストグループ</t>
  </si>
  <si>
    <t>三菱ＨＣキャピタル</t>
  </si>
  <si>
    <t>ＭＳ＆ＡＤインシュアランスグループホールディングス</t>
  </si>
  <si>
    <t>ソニーフィナンシャルグループ</t>
  </si>
  <si>
    <t>ＡＺ－ＣＯＭ丸和ホールディングス</t>
  </si>
  <si>
    <t>ＮＩＰＰＯＮ ＥＸＰＲＥＳＳホールディングス</t>
  </si>
  <si>
    <t>Ｕ－ＮＥＸＴ ＨＯＬＤＩＮＧＳ</t>
  </si>
  <si>
    <t>ＮＴＴ</t>
  </si>
  <si>
    <t>ＫＤＤＩ</t>
  </si>
  <si>
    <t>ＧＭＯインターネットグループ</t>
  </si>
  <si>
    <t>ＳＣＳＫ</t>
  </si>
  <si>
    <t>ブルーゾーンホールディングス</t>
  </si>
  <si>
    <t>https://www.jpx.co.jp/markets/indices/jpx-nikkei400/index.html</t>
    <phoneticPr fontId="1"/>
  </si>
  <si>
    <t>コード</t>
    <phoneticPr fontId="1"/>
  </si>
  <si>
    <t>チャート関数</t>
    <rPh sb="4" eb="6">
      <t>カンスウ</t>
    </rPh>
    <phoneticPr fontId="1"/>
  </si>
  <si>
    <t>ヘッダー行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</si>
</sst>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9a0e439d503c4134b124aa8a925fc5f1">
      <tp t="s">
        <v/>
        <stp/>
        <stp>ChartPast</stp>
        <stp>2386437116064,8,8,4,4</stp>
        <stp>1721</stp>
        <stp>D</stp>
        <stp>20160401</stp>
        <stp>3000</stp>
        <tr r="E9" s="3"/>
      </tp>
      <tp t="s">
        <v/>
        <stp/>
        <stp>ChartPast</stp>
        <stp>2386437116064,7,7,4,4</stp>
        <stp>1719</stp>
        <stp>D</stp>
        <stp>20160401</stp>
        <stp>3000</stp>
        <tr r="E8" s="3"/>
      </tp>
    </main>
    <main first="rtdsrv.9a0e439d503c4134b124aa8a925fc5f1">
      <tp t="s">
        <v/>
        <stp/>
        <stp>ChartPast</stp>
        <stp>2386437116064,88,88,4,4</stp>
        <stp>3774</stp>
        <stp>D</stp>
        <stp>20160401</stp>
        <stp>3000</stp>
        <tr r="E89" s="3"/>
      </tp>
    </main>
    <main first="rtdsrv.9a0e439d503c4134b124aa8a925fc5f1">
      <tp t="s">
        <v/>
        <stp/>
        <stp>ChartPast</stp>
        <stp>2386437116064,87,87,4,4</stp>
        <stp>3769</stp>
        <stp>D</stp>
        <stp>20160401</stp>
        <stp>3000</stp>
        <tr r="E88" s="3"/>
      </tp>
    </main>
    <main first="rtdsrv.9a0e439d503c4134b124aa8a925fc5f1">
      <tp t="s">
        <v/>
        <stp/>
        <stp>ChartPast</stp>
        <stp>2386437116064,86,86,4,4</stp>
        <stp>3765</stp>
        <stp>D</stp>
        <stp>20160401</stp>
        <stp>3000</stp>
        <tr r="E87" s="3"/>
      </tp>
      <tp t="s">
        <v/>
        <stp/>
        <stp>ChartPast</stp>
        <stp>2386437116064,6,6,4,4</stp>
        <stp>1662</stp>
        <stp>D</stp>
        <stp>20160401</stp>
        <stp>3000</stp>
        <tr r="E7" s="3"/>
      </tp>
      <tp t="s">
        <v/>
        <stp/>
        <stp>ChartPast</stp>
        <stp>2386437116064,5,5,4,4</stp>
        <stp>1605</stp>
        <stp>D</stp>
        <stp>20160401</stp>
        <stp>3000</stp>
        <tr r="E6" s="3"/>
      </tp>
      <tp t="s">
        <v/>
        <stp/>
        <stp>ChartPast</stp>
        <stp>2386437116064,85,85,4,4</stp>
        <stp>3697</stp>
        <stp>D</stp>
        <stp>20160401</stp>
        <stp>3000</stp>
        <tr r="E86" s="3"/>
      </tp>
    </main>
    <main first="rtdsrv.9a0e439d503c4134b124aa8a925fc5f1">
      <tp t="s">
        <v/>
        <stp/>
        <stp>ChartPast</stp>
        <stp>2386437116064,84,84,4,4</stp>
        <stp>3659</stp>
        <stp>D</stp>
        <stp>20160401</stp>
        <stp>3000</stp>
        <tr r="E85" s="3"/>
      </tp>
    </main>
    <main first="rtdsrv.9a0e439d503c4134b124aa8a925fc5f1">
      <tp t="s">
        <v/>
        <stp/>
        <stp>ChartPast</stp>
        <stp>2386437116064,83,83,4,4</stp>
        <stp>3635</stp>
        <stp>D</stp>
        <stp>20160401</stp>
        <stp>3000</stp>
        <tr r="E84" s="3"/>
      </tp>
      <tp t="s">
        <v/>
        <stp/>
        <stp>ChartPast</stp>
        <stp>2386437116064,82,82,4,4</stp>
        <stp>3626</stp>
        <stp>D</stp>
        <stp>20160401</stp>
        <stp>3000</stp>
        <tr r="E83" s="3"/>
      </tp>
    </main>
    <main first="rtdsrv.9a0e439d503c4134b124aa8a925fc5f1">
      <tp t="s">
        <v/>
        <stp/>
        <stp>ChartPast</stp>
        <stp>2386437116064,4,4,4,4</stp>
        <stp>1518</stp>
        <stp>D</stp>
        <stp>20160401</stp>
        <stp>3000</stp>
        <tr r="E5" s="3"/>
      </tp>
      <tp t="s">
        <v/>
        <stp/>
        <stp>ChartPast</stp>
        <stp>2386437116064,50,50,4,4</stp>
        <stp>2801</stp>
        <stp>D</stp>
        <stp>20160401</stp>
        <stp>3000</stp>
        <tr r="E51" s="3"/>
      </tp>
      <tp t="s">
        <v/>
        <stp/>
        <stp>ChartPast</stp>
        <stp>2386437116064,51,51,4,4</stp>
        <stp>2802</stp>
        <stp>D</stp>
        <stp>20160401</stp>
        <stp>3000</stp>
        <tr r="E52" s="3"/>
      </tp>
      <tp t="s">
        <v/>
        <stp/>
        <stp>ChartPast</stp>
        <stp>2386437116064,52,52,4,4</stp>
        <stp>2811</stp>
        <stp>D</stp>
        <stp>20160401</stp>
        <stp>3000</stp>
        <tr r="E53" s="3"/>
      </tp>
      <tp t="s">
        <v/>
        <stp/>
        <stp>ChartPast</stp>
        <stp>2386437116064,54,54,4,4</stp>
        <stp>2875</stp>
        <stp>D</stp>
        <stp>20160401</stp>
        <stp>3000</stp>
        <tr r="E55" s="3"/>
      </tp>
      <tp t="s">
        <v/>
        <stp/>
        <stp>ChartPast</stp>
        <stp>2386437116064,53,53,4,4</stp>
        <stp>2871</stp>
        <stp>D</stp>
        <stp>20160401</stp>
        <stp>3000</stp>
        <tr r="E54" s="3"/>
      </tp>
    </main>
    <main first="rtdsrv.9a0e439d503c4134b124aa8a925fc5f1">
      <tp t="s">
        <v/>
        <stp/>
        <stp>ChartPast</stp>
        <stp>2386437116064,80,80,4,4</stp>
        <stp>3549</stp>
        <stp>D</stp>
        <stp>20160401</stp>
        <stp>3000</stp>
        <tr r="E81" s="3"/>
      </tp>
    </main>
    <main first="rtdsrv.9a0e439d503c4134b124aa8a925fc5f1">
      <tp t="s">
        <v/>
        <stp/>
        <stp>ChartPast</stp>
        <stp>2386437116064,81,81,4,4</stp>
        <stp>3563</stp>
        <stp>D</stp>
        <stp>20160401</stp>
        <stp>3000</stp>
        <tr r="E82" s="3"/>
      </tp>
    </main>
    <main first="rtdsrv.9a0e439d503c4134b124aa8a925fc5f1">
      <tp t="s">
        <v/>
        <stp/>
        <stp>ChartPast</stp>
        <stp>2386437116064,55,55,4,4</stp>
        <stp>2897</stp>
        <stp>D</stp>
        <stp>20160401</stp>
        <stp>3000</stp>
        <tr r="E56" s="3"/>
      </tp>
    </main>
    <main first="rtdsrv.9a0e439d503c4134b124aa8a925fc5f1">
      <tp t="s">
        <v/>
        <stp/>
        <stp>ChartPast</stp>
        <stp>2386437116064,2,2,4,4</stp>
        <stp>1414</stp>
        <stp>D</stp>
        <stp>20160401</stp>
        <stp>3000</stp>
        <tr r="E3" s="3"/>
      </tp>
      <tp t="s">
        <v/>
        <stp/>
        <stp>ChartPast</stp>
        <stp>2386437116064,3,3,4,4</stp>
        <stp>1419</stp>
        <stp>D</stp>
        <stp>20160401</stp>
        <stp>3000</stp>
        <tr r="E4" s="3"/>
      </tp>
    </main>
    <main first="rtdsrv.9a0e439d503c4134b124aa8a925fc5f1">
      <tp t="s">
        <v/>
        <stp/>
        <stp>ChartPast</stp>
        <stp>2386437116064,56,56,4,4</stp>
        <stp>2914</stp>
        <stp>D</stp>
        <stp>20160401</stp>
        <stp>3000</stp>
        <tr r="E57" s="3"/>
      </tp>
      <tp t="s">
        <v/>
        <stp/>
        <stp>ChartPast</stp>
        <stp>2386437116064,1,1,4,4</stp>
        <stp>1332</stp>
        <stp>D</stp>
        <stp>20160401</stp>
        <stp>3000</stp>
        <tr r="E2" s="3"/>
      </tp>
      <tp t="s">
        <v/>
        <stp/>
        <stp>ChartPast</stp>
        <stp>2386437116064,20,20,4,4</stp>
        <stp>1969</stp>
        <stp>D</stp>
        <stp>20160401</stp>
        <stp>3000</stp>
        <tr r="E21" s="3"/>
      </tp>
    </main>
    <main first="rtdsrv.9a0e439d503c4134b124aa8a925fc5f1">
      <tp t="s">
        <v/>
        <stp/>
        <stp>ChartPast</stp>
        <stp>2386437116064,13,13,4,4</stp>
        <stp>1878</stp>
        <stp>D</stp>
        <stp>20160401</stp>
        <stp>3000</stp>
        <tr r="E14" s="3"/>
      </tp>
    </main>
    <main first="rtdsrv.9a0e439d503c4134b124aa8a925fc5f1">
      <tp t="s">
        <v/>
        <stp/>
        <stp>ChartPast</stp>
        <stp>2386437116064,96,96,4,4</stp>
        <stp>4088</stp>
        <stp>D</stp>
        <stp>20160401</stp>
        <stp>3000</stp>
        <tr r="E97" s="3"/>
      </tp>
      <tp t="s">
        <v/>
        <stp/>
        <stp>ChartPast</stp>
        <stp>2386437116064,97,97,4,4</stp>
        <stp>4091</stp>
        <stp>D</stp>
        <stp>20160401</stp>
        <stp>3000</stp>
        <tr r="E98" s="3"/>
      </tp>
    </main>
    <main first="rtdsrv.9a0e439d503c4134b124aa8a925fc5f1">
      <tp t="s">
        <v/>
        <stp/>
        <stp>ChartPast</stp>
        <stp>2386437116064,10,10,4,4</stp>
        <stp>1802</stp>
        <stp>D</stp>
        <stp>20160401</stp>
        <stp>3000</stp>
        <tr r="E11" s="3"/>
      </tp>
      <tp t="s">
        <v/>
        <stp/>
        <stp>ChartPast</stp>
        <stp>2386437116064,11,11,4,4</stp>
        <stp>1808</stp>
        <stp>D</stp>
        <stp>20160401</stp>
        <stp>3000</stp>
        <tr r="E12" s="3"/>
      </tp>
    </main>
    <main first="rtdsrv.9a0e439d503c4134b124aa8a925fc5f1">
      <tp t="s">
        <v/>
        <stp/>
        <stp>ChartPast</stp>
        <stp>2386437116064,12,12,4,4</stp>
        <stp>1812</stp>
        <stp>D</stp>
        <stp>20160401</stp>
        <stp>3000</stp>
        <tr r="E13" s="3"/>
      </tp>
    </main>
    <main first="rtdsrv.9a0e439d503c4134b124aa8a925fc5f1">
      <tp t="s">
        <v/>
        <stp/>
        <stp>ChartPast</stp>
        <stp>2386437116064,93,93,4,4</stp>
        <stp>4042</stp>
        <stp>D</stp>
        <stp>20160401</stp>
        <stp>3000</stp>
        <tr r="E94" s="3"/>
      </tp>
      <tp t="s">
        <v/>
        <stp/>
        <stp>ChartPast</stp>
        <stp>2386437116064,92,92,4,4</stp>
        <stp>4021</stp>
        <stp>D</stp>
        <stp>20160401</stp>
        <stp>3000</stp>
        <tr r="E93" s="3"/>
      </tp>
    </main>
    <main first="rtdsrv.9a0e439d503c4134b124aa8a925fc5f1">
      <tp t="s">
        <v/>
        <stp/>
        <stp>ChartPast</stp>
        <stp>2386437116064,91,91,4,4</stp>
        <stp>4004</stp>
        <stp>D</stp>
        <stp>20160401</stp>
        <stp>3000</stp>
        <tr r="E92" s="3"/>
      </tp>
    </main>
    <main first="rtdsrv.9a0e439d503c4134b124aa8a925fc5f1">
      <tp t="s">
        <v/>
        <stp/>
        <stp>ChartPast</stp>
        <stp>2386437116064,94,94,4,4</stp>
        <stp>4062</stp>
        <stp>D</stp>
        <stp>20160401</stp>
        <stp>3000</stp>
        <tr r="E95" s="3"/>
      </tp>
    </main>
    <main first="rtdsrv.9a0e439d503c4134b124aa8a925fc5f1">
      <tp t="s">
        <v/>
        <stp/>
        <stp>ChartPast</stp>
        <stp>2386437116064,95,95,4,4</stp>
        <stp>4063</stp>
        <stp>D</stp>
        <stp>20160401</stp>
        <stp>3000</stp>
        <tr r="E96" s="3"/>
      </tp>
    </main>
    <main first="rtdsrv.9a0e439d503c4134b124aa8a925fc5f1">
      <tp t="s">
        <v/>
        <stp/>
        <stp>ChartPast</stp>
        <stp>2386437116064,16,16,4,4</stp>
        <stp>1928</stp>
        <stp>D</stp>
        <stp>20160401</stp>
        <stp>3000</stp>
        <tr r="E17" s="3"/>
      </tp>
      <tp t="s">
        <v/>
        <stp/>
        <stp>ChartPast</stp>
        <stp>2386437116064,98,98,4,4</stp>
        <stp>4151</stp>
        <stp>D</stp>
        <stp>20160401</stp>
        <stp>3000</stp>
        <tr r="E99" s="3"/>
      </tp>
      <tp t="s">
        <v/>
        <stp/>
        <stp>ChartPast</stp>
        <stp>2386437116064,14,14,4,4</stp>
        <stp>1911</stp>
        <stp>D</stp>
        <stp>20160401</stp>
        <stp>3000</stp>
        <tr r="E15" s="3"/>
      </tp>
      <tp t="s">
        <v/>
        <stp/>
        <stp>ChartPast</stp>
        <stp>2386437116064,15,15,4,4</stp>
        <stp>1925</stp>
        <stp>D</stp>
        <stp>20160401</stp>
        <stp>3000</stp>
        <tr r="E16" s="3"/>
      </tp>
    </main>
    <main first="rtdsrv.9a0e439d503c4134b124aa8a925fc5f1">
      <tp t="s">
        <v/>
        <stp/>
        <stp>ChartPast</stp>
        <stp>2386437116064,17,17,4,4</stp>
        <stp>1942</stp>
        <stp>D</stp>
        <stp>20160401</stp>
        <stp>3000</stp>
        <tr r="E18" s="3"/>
      </tp>
      <tp t="s">
        <v/>
        <stp/>
        <stp>ChartPast</stp>
        <stp>2386437116064,19,19,4,4</stp>
        <stp>1959</stp>
        <stp>D</stp>
        <stp>20160401</stp>
        <stp>3000</stp>
        <tr r="E20" s="3"/>
      </tp>
      <tp t="s">
        <v/>
        <stp/>
        <stp>ChartPast</stp>
        <stp>2386437116064,18,18,4,4</stp>
        <stp>1951</stp>
        <stp>D</stp>
        <stp>20160401</stp>
        <stp>3000</stp>
        <tr r="E19" s="3"/>
      </tp>
      <tp t="s">
        <v/>
        <stp/>
        <stp>ChartPast</stp>
        <stp>2386437116064,99,99,4,4</stp>
        <stp>4182</stp>
        <stp>D</stp>
        <stp>20160401</stp>
        <stp>3000</stp>
        <tr r="E100" s="3"/>
      </tp>
    </main>
    <main first="rtdsrv.9a0e439d503c4134b124aa8a925fc5f1">
      <tp t="s">
        <v/>
        <stp/>
        <stp>ChartPast</stp>
        <stp>2386437116064,37,37,4,4</stp>
        <stp>2413</stp>
        <stp>D</stp>
        <stp>20160401</stp>
        <stp>3000</stp>
        <tr r="E38" s="3"/>
      </tp>
      <tp t="s">
        <v/>
        <stp/>
        <stp>ChartPast</stp>
        <stp>2386437116064,63,63,4,4</stp>
        <stp>3107</stp>
        <stp>D</stp>
        <stp>20160401</stp>
        <stp>3000</stp>
        <tr r="E64" s="3"/>
      </tp>
      <tp t="s">
        <v/>
        <stp/>
        <stp>ChartPast</stp>
        <stp>2386437116064,66,66,4,4</stp>
        <stp>3148</stp>
        <stp>D</stp>
        <stp>20160401</stp>
        <stp>3000</stp>
        <tr r="E67" s="3"/>
      </tp>
    </main>
    <main first="rtdsrv.9a0e439d503c4134b124aa8a925fc5f1">
      <tp t="s">
        <v/>
        <stp/>
        <stp>ChartPast</stp>
        <stp>2386437116064,65,65,4,4</stp>
        <stp>3132</stp>
        <stp>D</stp>
        <stp>20160401</stp>
        <stp>3000</stp>
        <tr r="E66" s="3"/>
      </tp>
    </main>
    <main first="rtdsrv.9a0e439d503c4134b124aa8a925fc5f1">
      <tp t="s">
        <v/>
        <stp/>
        <stp>ChartPast</stp>
        <stp>2386437116064,64,64,4,4</stp>
        <stp>3116</stp>
        <stp>D</stp>
        <stp>20160401</stp>
        <stp>3000</stp>
        <tr r="E65" s="3"/>
      </tp>
    </main>
    <main first="rtdsrv.9a0e439d503c4134b124aa8a925fc5f1">
      <tp t="s">
        <v/>
        <stp/>
        <stp>ChartPast</stp>
        <stp>2386437116064,67,67,4,4</stp>
        <stp>3186</stp>
        <stp>D</stp>
        <stp>20160401</stp>
        <stp>3000</stp>
        <tr r="E68" s="3"/>
      </tp>
    </main>
    <main first="rtdsrv.9a0e439d503c4134b124aa8a925fc5f1">
      <tp t="s">
        <v/>
        <stp/>
        <stp>ChartPast</stp>
        <stp>2386437116064,62,62,4,4</stp>
        <stp>3092</stp>
        <stp>D</stp>
        <stp>20160401</stp>
        <stp>3000</stp>
        <tr r="E63" s="3"/>
      </tp>
      <tp t="s">
        <v/>
        <stp/>
        <stp>ChartPast</stp>
        <stp>2386437116064,61,61,4,4</stp>
        <stp>3088</stp>
        <stp>D</stp>
        <stp>20160401</stp>
        <stp>3000</stp>
        <tr r="E62" s="3"/>
      </tp>
      <tp t="s">
        <v/>
        <stp/>
        <stp>ChartPast</stp>
        <stp>2386437116064,60,60,4,4</stp>
        <stp>3086</stp>
        <stp>D</stp>
        <stp>20160401</stp>
        <stp>3000</stp>
        <tr r="E61" s="3"/>
      </tp>
    </main>
    <main first="rtdsrv.9a0e439d503c4134b124aa8a925fc5f1">
      <tp t="s">
        <v/>
        <stp/>
        <stp>ChartPast</stp>
        <stp>2386437116064,38,38,4,4</stp>
        <stp>2502</stp>
        <stp>D</stp>
        <stp>20160401</stp>
        <stp>3000</stp>
        <tr r="E39" s="3"/>
      </tp>
      <tp t="s">
        <v/>
        <stp/>
        <stp>ChartPast</stp>
        <stp>2386437116064,39,39,4,4</stp>
        <stp>2503</stp>
        <stp>D</stp>
        <stp>20160401</stp>
        <stp>3000</stp>
        <tr r="E40" s="3"/>
      </tp>
    </main>
    <main first="rtdsrv.9a0e439d503c4134b124aa8a925fc5f1">
      <tp t="s">
        <v/>
        <stp/>
        <stp>ChartPast</stp>
        <stp>2386437116064,57,57,4,4</stp>
        <stp>3003</stp>
        <stp>D</stp>
        <stp>20160401</stp>
        <stp>3000</stp>
        <tr r="E58" s="3"/>
      </tp>
    </main>
    <main first="rtdsrv.9a0e439d503c4134b124aa8a925fc5f1">
      <tp t="s">
        <v/>
        <stp/>
        <stp>ChartPast</stp>
        <stp>2386437116064,70,70,4,4</stp>
        <stp>3289</stp>
        <stp>D</stp>
        <stp>20160401</stp>
        <stp>3000</stp>
        <tr r="E71" s="3"/>
      </tp>
      <tp t="s">
        <v/>
        <stp/>
        <stp>ChartPast</stp>
        <stp>2386437116064,71,71,4,4</stp>
        <stp>3291</stp>
        <stp>D</stp>
        <stp>20160401</stp>
        <stp>3000</stp>
        <tr r="E72" s="3"/>
      </tp>
      <tp t="s">
        <v/>
        <stp/>
        <stp>ChartPast</stp>
        <stp>2386437116064,58,58,4,4</stp>
        <stp>3038</stp>
        <stp>D</stp>
        <stp>20160401</stp>
        <stp>3000</stp>
        <tr r="E59" s="3"/>
      </tp>
      <tp t="s">
        <v/>
        <stp/>
        <stp>ChartPast</stp>
        <stp>2386437116064,59,59,4,4</stp>
        <stp>3064</stp>
        <stp>D</stp>
        <stp>20160401</stp>
        <stp>3000</stp>
        <tr r="E60" s="3"/>
      </tp>
      <tp t="s">
        <v/>
        <stp/>
        <stp>ChartPast</stp>
        <stp>2386437116064,69,69,4,4</stp>
        <stp>3288</stp>
        <stp>D</stp>
        <stp>20160401</stp>
        <stp>3000</stp>
        <tr r="E70" s="3"/>
      </tp>
      <tp t="s">
        <v/>
        <stp/>
        <stp>ChartPast</stp>
        <stp>2386437116064,72,72,4,4</stp>
        <stp>3349</stp>
        <stp>D</stp>
        <stp>20160401</stp>
        <stp>3000</stp>
        <tr r="E73" s="3"/>
      </tp>
    </main>
    <main first="rtdsrv.9a0e439d503c4134b124aa8a925fc5f1">
      <tp t="s">
        <v/>
        <stp/>
        <stp>ChartPast</stp>
        <stp>2386437116064,73,73,4,4</stp>
        <stp>3360</stp>
        <stp>D</stp>
        <stp>20160401</stp>
        <stp>3000</stp>
        <tr r="E74" s="3"/>
      </tp>
      <tp t="s">
        <v/>
        <stp/>
        <stp>ChartPast</stp>
        <stp>2386437116064,68,68,4,4</stp>
        <stp>3231</stp>
        <stp>D</stp>
        <stp>20160401</stp>
        <stp>3000</stp>
        <tr r="E69" s="3"/>
      </tp>
    </main>
    <main first="rtdsrv.9a0e439d503c4134b124aa8a925fc5f1">
      <tp t="s">
        <v/>
        <stp/>
        <stp>ChartPast</stp>
        <stp>2386437116064,74,74,4,4</stp>
        <stp>3382</stp>
        <stp>D</stp>
        <stp>20160401</stp>
        <stp>3000</stp>
        <tr r="E75" s="3"/>
      </tp>
      <tp t="s">
        <v/>
        <stp/>
        <stp>ChartPast</stp>
        <stp>2386437116064,75,75,4,4</stp>
        <stp>3391</stp>
        <stp>D</stp>
        <stp>20160401</stp>
        <stp>3000</stp>
        <tr r="E76" s="3"/>
      </tp>
    </main>
    <main first="rtdsrv.9a0e439d503c4134b124aa8a925fc5f1">
      <tp t="s">
        <v/>
        <stp/>
        <stp>ChartPast</stp>
        <stp>2386437116064,47,47,4,4</stp>
        <stp>2760</stp>
        <stp>D</stp>
        <stp>20160401</stp>
        <stp>3000</stp>
        <tr r="E48" s="3"/>
      </tp>
    </main>
    <main first="rtdsrv.9a0e439d503c4134b124aa8a925fc5f1">
      <tp t="s">
        <v/>
        <stp/>
        <stp>ChartPast</stp>
        <stp>2386437116064,23,23,4,4</stp>
        <stp>2154</stp>
        <stp>D</stp>
        <stp>20160401</stp>
        <stp>3000</stp>
        <tr r="E24" s="3"/>
      </tp>
    </main>
    <main first="rtdsrv.9a0e439d503c4134b124aa8a925fc5f1">
      <tp t="s">
        <v/>
        <stp/>
        <stp>ChartPast</stp>
        <stp>2386437116064,45,45,4,4</stp>
        <stp>2702</stp>
        <stp>D</stp>
        <stp>20160401</stp>
        <stp>3000</stp>
        <tr r="E46" s="3"/>
      </tp>
      <tp t="s">
        <v/>
        <stp/>
        <stp>ChartPast</stp>
        <stp>2386437116064,76,76,4,4</stp>
        <stp>3402</stp>
        <stp>D</stp>
        <stp>20160401</stp>
        <stp>3000</stp>
        <tr r="E77" s="3"/>
      </tp>
      <tp t="s">
        <v/>
        <stp/>
        <stp>ChartPast</stp>
        <stp>2386437116064,21,21,4,4</stp>
        <stp>2124</stp>
        <stp>D</stp>
        <stp>20160401</stp>
        <stp>3000</stp>
        <tr r="E22" s="3"/>
      </tp>
      <tp t="s">
        <v/>
        <stp/>
        <stp>ChartPast</stp>
        <stp>2386437116064,24,24,4,4</stp>
        <stp>2168</stp>
        <stp>D</stp>
        <stp>20160401</stp>
        <stp>3000</stp>
        <tr r="E25" s="3"/>
      </tp>
    </main>
    <main first="rtdsrv.9a0e439d503c4134b124aa8a925fc5f1">
      <tp t="s">
        <v/>
        <stp/>
        <stp>ChartPast</stp>
        <stp>2386437116064,77,77,4,4</stp>
        <stp>3405</stp>
        <stp>D</stp>
        <stp>20160401</stp>
        <stp>3000</stp>
        <tr r="E78" s="3"/>
      </tp>
      <tp t="s">
        <v/>
        <stp/>
        <stp>ChartPast</stp>
        <stp>2386437116064,46,46,4,4</stp>
        <stp>2726</stp>
        <stp>D</stp>
        <stp>20160401</stp>
        <stp>3000</stp>
        <tr r="E47" s="3"/>
      </tp>
    </main>
    <main first="rtdsrv.9a0e439d503c4134b124aa8a925fc5f1">
      <tp t="s">
        <v/>
        <stp/>
        <stp>ChartPast</stp>
        <stp>2386437116064,22,22,4,4</stp>
        <stp>2127</stp>
        <stp>D</stp>
        <stp>20160401</stp>
        <stp>3000</stp>
        <tr r="E23" s="3"/>
      </tp>
    </main>
    <main first="rtdsrv.9a0e439d503c4134b124aa8a925fc5f1">
      <tp t="s">
        <v/>
        <stp/>
        <stp>ChartPast</stp>
        <stp>2386437116064,78,78,4,4</stp>
        <stp>3436</stp>
        <stp>D</stp>
        <stp>20160401</stp>
        <stp>3000</stp>
        <tr r="E79" s="3"/>
      </tp>
    </main>
    <main first="rtdsrv.9a0e439d503c4134b124aa8a925fc5f1">
      <tp t="s">
        <v/>
        <stp/>
        <stp>ChartPast</stp>
        <stp>2386437116064,25,25,4,4</stp>
        <stp>2181</stp>
        <stp>D</stp>
        <stp>20160401</stp>
        <stp>3000</stp>
        <tr r="E26" s="3"/>
      </tp>
    </main>
    <main first="rtdsrv.9a0e439d503c4134b124aa8a925fc5f1">
      <tp t="s">
        <v/>
        <stp/>
        <stp>ChartPast</stp>
        <stp>2386437116064,79,79,4,4</stp>
        <stp>3465</stp>
        <stp>D</stp>
        <stp>20160401</stp>
        <stp>3000</stp>
        <tr r="E80" s="3"/>
      </tp>
    </main>
    <main first="rtdsrv.9a0e439d503c4134b124aa8a925fc5f1">
      <tp t="s">
        <v/>
        <stp/>
        <stp>ChartPast</stp>
        <stp>2386437116064,49,49,4,4</stp>
        <stp>2768</stp>
        <stp>D</stp>
        <stp>20160401</stp>
        <stp>3000</stp>
        <tr r="E50" s="3"/>
      </tp>
      <tp t="s">
        <v/>
        <stp/>
        <stp>ChartPast</stp>
        <stp>2386437116064,48,48,4,4</stp>
        <stp>2767</stp>
        <stp>D</stp>
        <stp>20160401</stp>
        <stp>3000</stp>
        <tr r="E49" s="3"/>
      </tp>
    </main>
    <main first="rtdsrv.9a0e439d503c4134b124aa8a925fc5f1">
      <tp t="s">
        <v/>
        <stp/>
        <stp>ChartPast</stp>
        <stp>2386437116064,42,42,4,4</stp>
        <stp>2670</stp>
        <stp>D</stp>
        <stp>20160401</stp>
        <stp>3000</stp>
        <tr r="E43" s="3"/>
      </tp>
      <tp t="s">
        <v/>
        <stp/>
        <stp>ChartPast</stp>
        <stp>2386437116064,43,43,4,4</stp>
        <stp>2678</stp>
        <stp>D</stp>
        <stp>20160401</stp>
        <stp>3000</stp>
        <tr r="E44" s="3"/>
      </tp>
    </main>
    <main first="rtdsrv.9a0e439d503c4134b124aa8a925fc5f1">
      <tp t="s">
        <v/>
        <stp/>
        <stp>ChartPast</stp>
        <stp>2386437116064,44,44,4,4</stp>
        <stp>2685</stp>
        <stp>D</stp>
        <stp>20160401</stp>
        <stp>3000</stp>
        <tr r="E45" s="3"/>
      </tp>
    </main>
    <main first="rtdsrv.9a0e439d503c4134b124aa8a925fc5f1">
      <tp t="s">
        <v/>
        <stp/>
        <stp>ChartPast</stp>
        <stp>2386437116064,30,30,4,4</stp>
        <stp>2267</stp>
        <stp>D</stp>
        <stp>20160401</stp>
        <stp>3000</stp>
        <tr r="E31" s="3"/>
      </tp>
      <tp t="s">
        <v/>
        <stp/>
        <stp>ChartPast</stp>
        <stp>2386437116064,31,31,4,4</stp>
        <stp>2269</stp>
        <stp>D</stp>
        <stp>20160401</stp>
        <stp>3000</stp>
        <tr r="E32" s="3"/>
      </tp>
      <tp t="s">
        <v/>
        <stp/>
        <stp>ChartPast</stp>
        <stp>2386437116064,40,40,4,4</stp>
        <stp>2531</stp>
        <stp>D</stp>
        <stp>20160401</stp>
        <stp>3000</stp>
        <tr r="E41" s="3"/>
      </tp>
      <tp t="s">
        <v/>
        <stp/>
        <stp>ChartPast</stp>
        <stp>2386437116064,41,41,4,4</stp>
        <stp>2587</stp>
        <stp>D</stp>
        <stp>20160401</stp>
        <stp>3000</stp>
        <tr r="E42" s="3"/>
      </tp>
    </main>
    <main first="rtdsrv.9a0e439d503c4134b124aa8a925fc5f1">
      <tp t="s">
        <v/>
        <stp/>
        <stp>ChartPast</stp>
        <stp>2386437116064,9,9,4,4</stp>
        <stp>1801</stp>
        <stp>D</stp>
        <stp>20160401</stp>
        <stp>3000</stp>
        <tr r="E10" s="3"/>
      </tp>
    </main>
    <main first="rtdsrv.9a0e439d503c4134b124aa8a925fc5f1">
      <tp t="s">
        <v/>
        <stp/>
        <stp>ChartPast</stp>
        <stp>2386437116064,26,26,4,4</stp>
        <stp>2201</stp>
        <stp>D</stp>
        <stp>20160401</stp>
        <stp>3000</stp>
        <tr r="E27" s="3"/>
      </tp>
      <tp t="s">
        <v/>
        <stp/>
        <stp>ChartPast</stp>
        <stp>2386437116064,89,89,4,4</stp>
        <stp>3861</stp>
        <stp>D</stp>
        <stp>20160401</stp>
        <stp>3000</stp>
        <tr r="E90" s="3"/>
      </tp>
      <tp t="s">
        <v/>
        <stp/>
        <stp>ChartPast</stp>
        <stp>2386437116064,27,27,4,4</stp>
        <stp>2222</stp>
        <stp>D</stp>
        <stp>20160401</stp>
        <stp>3000</stp>
        <tr r="E28" s="3"/>
      </tp>
      <tp t="s">
        <v/>
        <stp/>
        <stp>ChartPast</stp>
        <stp>2386437116064,35,35,4,4</stp>
        <stp>2379</stp>
        <stp>D</stp>
        <stp>20160401</stp>
        <stp>3000</stp>
        <tr r="E36" s="3"/>
      </tp>
      <tp t="s">
        <v/>
        <stp/>
        <stp>ChartPast</stp>
        <stp>2386437116064,32,32,4,4</stp>
        <stp>2317</stp>
        <stp>D</stp>
        <stp>20160401</stp>
        <stp>3000</stp>
        <tr r="E33" s="3"/>
      </tp>
      <tp t="s">
        <v/>
        <stp/>
        <stp>ChartPast</stp>
        <stp>2386437116064,34,34,4,4</stp>
        <stp>2371</stp>
        <stp>D</stp>
        <stp>20160401</stp>
        <stp>3000</stp>
        <tr r="E35" s="3"/>
      </tp>
      <tp t="s">
        <v/>
        <stp/>
        <stp>ChartPast</stp>
        <stp>2386437116064,33,33,4,4</stp>
        <stp>2327</stp>
        <stp>D</stp>
        <stp>20160401</stp>
        <stp>3000</stp>
        <tr r="E34" s="3"/>
      </tp>
      <tp t="s">
        <v/>
        <stp/>
        <stp>ChartPast</stp>
        <stp>2386437116064,29,29,4,4</stp>
        <stp>2264</stp>
        <stp>D</stp>
        <stp>20160401</stp>
        <stp>3000</stp>
        <tr r="E30" s="3"/>
      </tp>
      <tp t="s">
        <v/>
        <stp/>
        <stp>ChartPast</stp>
        <stp>2386437116064,36,36,4,4</stp>
        <stp>2384</stp>
        <stp>D</stp>
        <stp>20160401</stp>
        <stp>3000</stp>
        <tr r="E37" s="3"/>
      </tp>
      <tp t="s">
        <v/>
        <stp/>
        <stp>ChartPast</stp>
        <stp>2386437116064,28,28,4,4</stp>
        <stp>2229</stp>
        <stp>D</stp>
        <stp>20160401</stp>
        <stp>3000</stp>
        <tr r="E29" s="3"/>
      </tp>
      <tp t="s">
        <v/>
        <stp/>
        <stp>ChartPast</stp>
        <stp>2386437116064,90,90,4,4</stp>
        <stp>3923</stp>
        <stp>D</stp>
        <stp>20160401</stp>
        <stp>3000</stp>
        <tr r="E91" s="3"/>
      </tp>
      <tp t="s">
        <v/>
        <stp/>
        <stp>ChartPast</stp>
        <stp>2386437116064,219,219,4,4</stp>
        <stp>6787</stp>
        <stp>D</stp>
        <stp>20160401</stp>
        <stp>3000</stp>
        <tr r="E220" s="3"/>
      </tp>
      <tp t="s">
        <v/>
        <stp/>
        <stp>ChartPast</stp>
        <stp>2386437116064,166,166,4,4</stp>
        <stp>5714</stp>
        <stp>D</stp>
        <stp>20160401</stp>
        <stp>3000</stp>
        <tr r="E167" s="3"/>
      </tp>
      <tp t="s">
        <v/>
        <stp/>
        <stp>ChartPast</stp>
        <stp>2386437116064,134,134,4,4</stp>
        <stp>4716</stp>
        <stp>D</stp>
        <stp>20160401</stp>
        <stp>3000</stp>
        <tr r="E135" s="3"/>
      </tp>
      <tp t="s">
        <v/>
        <stp/>
        <stp>ChartPast</stp>
        <stp>2386437116064,268,268,4,4</stp>
        <stp>7716</stp>
        <stp>D</stp>
        <stp>20160401</stp>
        <stp>3000</stp>
        <tr r="E269" s="3"/>
      </tp>
      <tp t="s">
        <v/>
        <stp/>
        <stp>ChartPast</stp>
        <stp>2386437116064,165,165,4,4</stp>
        <stp>5713</stp>
        <stp>D</stp>
        <stp>20160401</stp>
        <stp>3000</stp>
        <tr r="E166" s="3"/>
      </tp>
      <tp t="s">
        <v/>
        <stp/>
        <stp>ChartPast</stp>
        <stp>2386437116064,389,389,4,4</stp>
        <stp>9719</stp>
        <stp>D</stp>
        <stp>20160401</stp>
        <stp>3000</stp>
        <tr r="E390" s="3"/>
      </tp>
      <tp t="s">
        <v/>
        <stp/>
        <stp>ChartPast</stp>
        <stp>2386437116064,133,133,4,4</stp>
        <stp>4704</stp>
        <stp>D</stp>
        <stp>20160401</stp>
        <stp>3000</stp>
        <tr r="E134" s="3"/>
      </tp>
      <tp t="s">
        <v/>
        <stp/>
        <stp>ChartPast</stp>
        <stp>2386437116064,164,164,4,4</stp>
        <stp>5706</stp>
        <stp>D</stp>
        <stp>20160401</stp>
        <stp>3000</stp>
        <tr r="E165" s="3"/>
      </tp>
      <tp t="s">
        <v/>
        <stp/>
        <stp>ChartPast</stp>
        <stp>2386437116064,212,212,4,4</stp>
        <stp>6707</stp>
        <stp>D</stp>
        <stp>20160401</stp>
        <stp>3000</stp>
        <tr r="E213" s="3"/>
      </tp>
      <tp t="s">
        <v/>
        <stp/>
        <stp>ChartPast</stp>
        <stp>2386437116064,210,210,4,4</stp>
        <stp>6701</stp>
        <stp>D</stp>
        <stp>20160401</stp>
        <stp>3000</stp>
        <tr r="E211" s="3"/>
      </tp>
      <tp t="s">
        <v/>
        <stp/>
        <stp>ChartPast</stp>
        <stp>2386437116064,267,267,4,4</stp>
        <stp>7701</stp>
        <stp>D</stp>
        <stp>20160401</stp>
        <stp>3000</stp>
        <tr r="E268" s="3"/>
      </tp>
      <tp t="s">
        <v/>
        <stp/>
        <stp>ChartPast</stp>
        <stp>2386437116064,211,211,4,4</stp>
        <stp>6702</stp>
        <stp>D</stp>
        <stp>20160401</stp>
        <stp>3000</stp>
        <tr r="E212" s="3"/>
      </tp>
      <tp t="s">
        <v/>
        <stp/>
        <stp>ChartPast</stp>
        <stp>2386437116064,390,390,4,4</stp>
        <stp>9735</stp>
        <stp>D</stp>
        <stp>20160401</stp>
        <stp>3000</stp>
        <tr r="E391" s="3"/>
      </tp>
      <tp t="s">
        <v/>
        <stp/>
        <stp>ChartPast</stp>
        <stp>2386437116064,271,271,4,4</stp>
        <stp>7735</stp>
        <stp>D</stp>
        <stp>20160401</stp>
        <stp>3000</stp>
        <tr r="E272" s="3"/>
      </tp>
      <tp t="s">
        <v/>
        <stp/>
        <stp>ChartPast</stp>
        <stp>2386437116064,136,136,4,4</stp>
        <stp>4732</stp>
        <stp>D</stp>
        <stp>20160401</stp>
        <stp>3000</stp>
        <tr r="E137" s="3"/>
      </tp>
      <tp t="s">
        <v/>
        <stp/>
        <stp>ChartPast</stp>
        <stp>2386437116064,270,270,4,4</stp>
        <stp>7733</stp>
        <stp>D</stp>
        <stp>20160401</stp>
        <stp>3000</stp>
        <tr r="E271" s="3"/>
      </tp>
      <tp t="s">
        <v/>
        <stp/>
        <stp>ChartPast</stp>
        <stp>2386437116064,214,214,4,4</stp>
        <stp>6724</stp>
        <stp>D</stp>
        <stp>20160401</stp>
        <stp>3000</stp>
        <tr r="E215" s="3"/>
      </tp>
      <tp t="s">
        <v/>
        <stp/>
        <stp>ChartPast</stp>
        <stp>2386437116064,334,334,4,4</stp>
        <stp>8725</stp>
        <stp>D</stp>
        <stp>20160401</stp>
        <stp>3000</stp>
        <tr r="E335" s="3"/>
      </tp>
      <tp t="s">
        <v/>
        <stp/>
        <stp>ChartPast</stp>
        <stp>2386437116064,135,135,4,4</stp>
        <stp>4722</stp>
        <stp>D</stp>
        <stp>20160401</stp>
        <stp>3000</stp>
        <tr r="E136" s="3"/>
      </tp>
      <tp t="s">
        <v/>
        <stp/>
        <stp>ChartPast</stp>
        <stp>2386437116064,213,213,4,4</stp>
        <stp>6723</stp>
        <stp>D</stp>
        <stp>20160401</stp>
        <stp>3000</stp>
        <tr r="E214" s="3"/>
      </tp>
      <tp t="s">
        <v/>
        <stp/>
        <stp>ChartPast</stp>
        <stp>2386437116064,215,215,4,4</stp>
        <stp>6728</stp>
        <stp>D</stp>
        <stp>20160401</stp>
        <stp>3000</stp>
        <tr r="E216" s="3"/>
      </tp>
      <tp t="s">
        <v/>
        <stp/>
        <stp>ChartPast</stp>
        <stp>2386437116064,335,335,4,4</stp>
        <stp>8729</stp>
        <stp>D</stp>
        <stp>20160401</stp>
        <stp>3000</stp>
        <tr r="E336" s="3"/>
      </tp>
      <tp t="s">
        <v/>
        <stp/>
        <stp>ChartPast</stp>
        <stp>2386437116064,269,269,4,4</stp>
        <stp>7729</stp>
        <stp>D</stp>
        <stp>20160401</stp>
        <stp>3000</stp>
        <tr r="E270" s="3"/>
      </tp>
      <tp t="s">
        <v/>
        <stp/>
        <stp>ChartPast</stp>
        <stp>2386437116064,336,336,4,4</stp>
        <stp>8750</stp>
        <stp>D</stp>
        <stp>20160401</stp>
        <stp>3000</stp>
        <tr r="E337" s="3"/>
      </tp>
      <tp t="s">
        <v/>
        <stp/>
        <stp>ChartPast</stp>
        <stp>2386437116064,276,276,4,4</stp>
        <stp>7751</stp>
        <stp>D</stp>
        <stp>20160401</stp>
        <stp>3000</stp>
        <tr r="E277" s="3"/>
      </tp>
      <tp t="s">
        <v/>
        <stp/>
        <stp>ChartPast</stp>
        <stp>2386437116064,216,216,4,4</stp>
        <stp>6752</stp>
        <stp>D</stp>
        <stp>20160401</stp>
        <stp>3000</stp>
        <tr r="E217" s="3"/>
      </tp>
      <tp t="s">
        <v/>
        <stp/>
        <stp>ChartPast</stp>
        <stp>2386437116064,217,217,4,4</stp>
        <stp>6758</stp>
        <stp>D</stp>
        <stp>20160401</stp>
        <stp>3000</stp>
        <tr r="E218" s="3"/>
      </tp>
      <tp t="s">
        <v/>
        <stp/>
        <stp>ChartPast</stp>
        <stp>2386437116064,392,392,4,4</stp>
        <stp>9759</stp>
        <stp>D</stp>
        <stp>20160401</stp>
        <stp>3000</stp>
        <tr r="E393" s="3"/>
      </tp>
      <tp t="s">
        <v/>
        <stp/>
        <stp>ChartPast</stp>
        <stp>2386437116064,391,391,4,4</stp>
        <stp>9744</stp>
        <stp>D</stp>
        <stp>20160401</stp>
        <stp>3000</stp>
        <tr r="E392" s="3"/>
      </tp>
      <tp t="s">
        <v/>
        <stp/>
        <stp>ChartPast</stp>
        <stp>2386437116064,274,274,4,4</stp>
        <stp>7744</stp>
        <stp>D</stp>
        <stp>20160401</stp>
        <stp>3000</stp>
        <tr r="E275" s="3"/>
      </tp>
      <tp t="s">
        <v/>
        <stp/>
        <stp>ChartPast</stp>
        <stp>2386437116064,275,275,4,4</stp>
        <stp>7747</stp>
        <stp>D</stp>
        <stp>20160401</stp>
        <stp>3000</stp>
        <tr r="E276" s="3"/>
      </tp>
      <tp t="s">
        <v/>
        <stp/>
        <stp>ChartPast</stp>
        <stp>2386437116064,272,272,4,4</stp>
        <stp>7740</stp>
        <stp>D</stp>
        <stp>20160401</stp>
        <stp>3000</stp>
        <tr r="E273" s="3"/>
      </tp>
      <tp t="s">
        <v/>
        <stp/>
        <stp>ChartPast</stp>
        <stp>2386437116064,273,273,4,4</stp>
        <stp>7741</stp>
        <stp>D</stp>
        <stp>20160401</stp>
        <stp>3000</stp>
        <tr r="E274" s="3"/>
      </tp>
      <tp t="s">
        <v/>
        <stp/>
        <stp>ChartPast</stp>
        <stp>2386437116064,337,337,4,4</stp>
        <stp>8766</stp>
        <stp>D</stp>
        <stp>20160401</stp>
        <stp>3000</stp>
        <tr r="E338" s="3"/>
      </tp>
      <tp t="s">
        <v/>
        <stp/>
        <stp>ChartPast</stp>
        <stp>2386437116064,393,393,4,4</stp>
        <stp>9766</stp>
        <stp>D</stp>
        <stp>20160401</stp>
        <stp>3000</stp>
        <tr r="E394" s="3"/>
      </tp>
      <tp t="s">
        <v/>
        <stp/>
        <stp>ChartPast</stp>
        <stp>2386437116064,218,218,4,4</stp>
        <stp>6762</stp>
        <stp>D</stp>
        <stp>20160401</stp>
        <stp>3000</stp>
        <tr r="E219" s="3"/>
      </tp>
      <tp t="s">
        <v/>
        <stp/>
        <stp>ChartPast</stp>
        <stp>2386437116064,277,277,4,4</stp>
        <stp>7762</stp>
        <stp>D</stp>
        <stp>20160401</stp>
        <stp>3000</stp>
        <tr r="E278" s="3"/>
      </tp>
      <tp t="s">
        <v/>
        <stp/>
        <stp>ChartPast</stp>
        <stp>2386437116064,137,137,4,4</stp>
        <stp>4768</stp>
        <stp>D</stp>
        <stp>20160401</stp>
        <stp>3000</stp>
        <tr r="E138" s="3"/>
      </tp>
      <tp t="s">
        <v/>
        <stp/>
        <stp>ChartPast</stp>
        <stp>2386437116064,333,333,4,4</stp>
        <stp>8697</stp>
        <stp>D</stp>
        <stp>20160401</stp>
        <stp>3000</stp>
        <tr r="E334" s="3"/>
      </tp>
      <tp t="s">
        <v/>
        <stp/>
        <stp>ChartPast</stp>
        <stp>2386437116064,388,388,4,4</stp>
        <stp>9697</stp>
        <stp>D</stp>
        <stp>20160401</stp>
        <stp>3000</stp>
        <tr r="E389" s="3"/>
      </tp>
      <tp t="s">
        <v/>
        <stp/>
        <stp>ChartPast</stp>
        <stp>2386437116064,387,387,4,4</stp>
        <stp>9684</stp>
        <stp>D</stp>
        <stp>20160401</stp>
        <stp>3000</stp>
        <tr r="E388" s="3"/>
      </tp>
      <tp t="s">
        <v/>
        <stp/>
        <stp>ChartPast</stp>
        <stp>2386437116064,130,130,4,4</stp>
        <stp>4684</stp>
        <stp>D</stp>
        <stp>20160401</stp>
        <stp>3000</stp>
        <tr r="E131" s="3"/>
      </tp>
      <tp t="s">
        <v/>
        <stp/>
        <stp>ChartPast</stp>
        <stp>2386437116064,131,131,4,4</stp>
        <stp>4686</stp>
        <stp>D</stp>
        <stp>20160401</stp>
        <stp>3000</stp>
        <tr r="E132" s="3"/>
      </tp>
      <tp t="s">
        <v/>
        <stp/>
        <stp>ChartPast</stp>
        <stp>2386437116064,128,128,4,4</stp>
        <stp>4680</stp>
        <stp>D</stp>
        <stp>20160401</stp>
        <stp>3000</stp>
        <tr r="E129" s="3"/>
      </tp>
      <tp t="s">
        <v/>
        <stp/>
        <stp>ChartPast</stp>
        <stp>2386437116064,129,129,4,4</stp>
        <stp>4681</stp>
        <stp>D</stp>
        <stp>20160401</stp>
        <stp>3000</stp>
        <tr r="E130" s="3"/>
      </tp>
      <tp t="s">
        <v/>
        <stp/>
        <stp>ChartPast</stp>
        <stp>2386437116064,132,132,4,4</stp>
        <stp>4689</stp>
        <stp>D</stp>
        <stp>20160401</stp>
        <stp>3000</stp>
        <tr r="E133" s="3"/>
      </tp>
      <tp t="s">
        <v/>
        <stp/>
        <stp>ChartPast</stp>
        <stp>2386437116064,123,123,4,4</stp>
        <stp>4612</stp>
        <stp>D</stp>
        <stp>20160401</stp>
        <stp>3000</stp>
        <tr r="E124" s="3"/>
      </tp>
      <tp t="s">
        <v/>
        <stp/>
        <stp>ChartPast</stp>
        <stp>2386437116064,124,124,4,4</stp>
        <stp>4613</stp>
        <stp>D</stp>
        <stp>20160401</stp>
        <stp>3000</stp>
        <tr r="E125" s="3"/>
      </tp>
      <tp t="s">
        <v/>
        <stp/>
        <stp>ChartPast</stp>
        <stp>2386437116064,331,331,4,4</stp>
        <stp>8604</stp>
        <stp>D</stp>
        <stp>20160401</stp>
        <stp>3000</stp>
        <tr r="E332" s="3"/>
      </tp>
      <tp t="s">
        <v/>
        <stp/>
        <stp>ChartPast</stp>
        <stp>2386437116064,330,330,4,4</stp>
        <stp>8601</stp>
        <stp>D</stp>
        <stp>20160401</stp>
        <stp>3000</stp>
        <tr r="E331" s="3"/>
      </tp>
      <tp t="s">
        <v/>
        <stp/>
        <stp>ChartPast</stp>
        <stp>2386437116064,386,386,4,4</stp>
        <stp>9602</stp>
        <stp>D</stp>
        <stp>20160401</stp>
        <stp>3000</stp>
        <tr r="E387" s="3"/>
      </tp>
      <tp t="s">
        <v/>
        <stp/>
        <stp>ChartPast</stp>
        <stp>2386437116064,332,332,4,4</stp>
        <stp>8630</stp>
        <stp>D</stp>
        <stp>20160401</stp>
        <stp>3000</stp>
        <tr r="E333" s="3"/>
      </tp>
      <tp t="s">
        <v/>
        <stp/>
        <stp>ChartPast</stp>
        <stp>2386437116064,207,207,4,4</stp>
        <stp>6632</stp>
        <stp>D</stp>
        <stp>20160401</stp>
        <stp>3000</stp>
        <tr r="E208" s="3"/>
      </tp>
      <tp t="s">
        <v/>
        <stp/>
        <stp>ChartPast</stp>
        <stp>2386437116064,125,125,4,4</stp>
        <stp>4626</stp>
        <stp>D</stp>
        <stp>20160401</stp>
        <stp>3000</stp>
        <tr r="E126" s="3"/>
      </tp>
      <tp t="s">
        <v/>
        <stp/>
        <stp>ChartPast</stp>
        <stp>2386437116064,208,208,4,4</stp>
        <stp>6645</stp>
        <stp>D</stp>
        <stp>20160401</stp>
        <stp>3000</stp>
        <tr r="E209" s="3"/>
      </tp>
      <tp t="s">
        <v/>
        <stp/>
        <stp>ChartPast</stp>
        <stp>2386437116064,266,266,4,4</stp>
        <stp>7649</stp>
        <stp>D</stp>
        <stp>20160401</stp>
        <stp>3000</stp>
        <tr r="E267" s="3"/>
      </tp>
      <tp t="s">
        <v/>
        <stp/>
        <stp>ChartPast</stp>
        <stp>2386437116064,209,209,4,4</stp>
        <stp>6670</stp>
        <stp>D</stp>
        <stp>20160401</stp>
        <stp>3000</stp>
        <tr r="E210" s="3"/>
      </tp>
      <tp t="s">
        <v/>
        <stp/>
        <stp>ChartPast</stp>
        <stp>2386437116064,127,127,4,4</stp>
        <stp>4666</stp>
        <stp>D</stp>
        <stp>20160401</stp>
        <stp>3000</stp>
        <tr r="E128" s="3"/>
      </tp>
      <tp t="s">
        <v/>
        <stp/>
        <stp>ChartPast</stp>
        <stp>2386437116064,126,126,4,4</stp>
        <stp>4661</stp>
        <stp>D</stp>
        <stp>20160401</stp>
        <stp>3000</stp>
        <tr r="E127" s="3"/>
      </tp>
      <tp t="s">
        <v/>
        <stp/>
        <stp>ChartPast</stp>
        <stp>2386437116064,206,206,4,4</stp>
        <stp>6590</stp>
        <stp>D</stp>
        <stp>20160401</stp>
        <stp>3000</stp>
        <tr r="E207" s="3"/>
      </tp>
      <tp t="s">
        <v/>
        <stp/>
        <stp>ChartPast</stp>
        <stp>2386437116064,328,328,4,4</stp>
        <stp>8591</stp>
        <stp>D</stp>
        <stp>20160401</stp>
        <stp>3000</stp>
        <tr r="E329" s="3"/>
      </tp>
    </main>
    <main first="rtdsrv.9a0e439d503c4134b124aa8a925fc5f1">
      <tp t="s">
        <v/>
        <stp/>
        <stp>ChartPast</stp>
        <stp>2386437116064,329,329,4,4</stp>
        <stp>8593</stp>
        <stp>D</stp>
        <stp>20160401</stp>
        <stp>3000</stp>
        <tr r="E330" s="3"/>
      </tp>
    </main>
    <main first="rtdsrv.9a0e439d503c4134b124aa8a925fc5f1">
      <tp t="s">
        <v/>
        <stp/>
        <stp>ChartPast</stp>
        <stp>2386437116064,265,265,4,4</stp>
        <stp>7599</stp>
        <stp>D</stp>
        <stp>20160401</stp>
        <stp>3000</stp>
        <tr r="E266" s="3"/>
      </tp>
    </main>
    <main first="rtdsrv.9a0e439d503c4134b124aa8a925fc5f1">
      <tp t="s">
        <v/>
        <stp/>
        <stp>ChartPast</stp>
        <stp>2386437116064,327,327,4,4</stp>
        <stp>8584</stp>
        <stp>D</stp>
        <stp>20160401</stp>
        <stp>3000</stp>
        <tr r="E328" s="3"/>
      </tp>
      <tp t="s">
        <v/>
        <stp/>
        <stp>ChartPast</stp>
        <stp>2386437116064,205,205,4,4</stp>
        <stp>6586</stp>
        <stp>D</stp>
        <stp>20160401</stp>
        <stp>3000</stp>
        <tr r="E206" s="3"/>
      </tp>
      <tp t="s">
        <v/>
        <stp/>
        <stp>ChartPast</stp>
        <stp>2386437116064,122,122,4,4</stp>
        <stp>4587</stp>
        <stp>D</stp>
        <stp>20160401</stp>
        <stp>3000</stp>
        <tr r="E123" s="3"/>
      </tp>
    </main>
    <main first="rtdsrv.9a0e439d503c4134b124aa8a925fc5f1">
      <tp t="s">
        <v/>
        <stp/>
        <stp>ChartPast</stp>
        <stp>2386437116064,325,325,4,4</stp>
        <stp>8515</stp>
        <stp>D</stp>
        <stp>20160401</stp>
        <stp>3000</stp>
        <tr r="E326" s="3"/>
      </tp>
      <tp t="s">
        <v/>
        <stp/>
        <stp>ChartPast</stp>
        <stp>2386437116064,114,114,4,4</stp>
        <stp>4516</stp>
        <stp>D</stp>
        <stp>20160401</stp>
        <stp>3000</stp>
        <tr r="E115" s="3"/>
      </tp>
      <tp t="s">
        <v/>
        <stp/>
        <stp>ChartPast</stp>
        <stp>2386437116064,383,383,4,4</stp>
        <stp>9513</stp>
        <stp>D</stp>
        <stp>20160401</stp>
        <stp>3000</stp>
        <tr r="E384" s="3"/>
      </tp>
    </main>
    <main first="rtdsrv.9a0e439d503c4134b124aa8a925fc5f1">
      <tp t="s">
        <v/>
        <stp/>
        <stp>ChartPast</stp>
        <stp>2386437116064,115,115,4,4</stp>
        <stp>4519</stp>
        <stp>D</stp>
        <stp>20160401</stp>
        <stp>3000</stp>
        <tr r="E116" s="3"/>
      </tp>
    </main>
    <main first="rtdsrv.9a0e439d503c4134b124aa8a925fc5f1">
      <tp t="s">
        <v/>
        <stp/>
        <stp>ChartPast</stp>
        <stp>2386437116064,201,201,4,4</stp>
        <stp>6504</stp>
        <stp>D</stp>
        <stp>20160401</stp>
        <stp>3000</stp>
        <tr r="E202" s="3"/>
      </tp>
      <tp t="s">
        <v/>
        <stp/>
        <stp>ChartPast</stp>
        <stp>2386437116064,379,379,4,4</stp>
        <stp>9506</stp>
        <stp>D</stp>
        <stp>20160401</stp>
        <stp>3000</stp>
        <tr r="E380" s="3"/>
      </tp>
      <tp t="s">
        <v/>
        <stp/>
        <stp>ChartPast</stp>
        <stp>2386437116064,202,202,4,4</stp>
        <stp>6506</stp>
        <stp>D</stp>
        <stp>20160401</stp>
        <stp>3000</stp>
        <tr r="E203" s="3"/>
      </tp>
      <tp t="s">
        <v/>
        <stp/>
        <stp>ChartPast</stp>
        <stp>2386437116064,380,380,4,4</stp>
        <stp>9507</stp>
        <stp>D</stp>
        <stp>20160401</stp>
        <stp>3000</stp>
        <tr r="E381" s="3"/>
      </tp>
      <tp t="s">
        <v/>
        <stp/>
        <stp>ChartPast</stp>
        <stp>2386437116064,113,113,4,4</stp>
        <stp>4507</stp>
        <stp>D</stp>
        <stp>20160401</stp>
        <stp>3000</stp>
        <tr r="E114" s="3"/>
      </tp>
      <tp t="s">
        <v/>
        <stp/>
        <stp>ChartPast</stp>
        <stp>2386437116064,199,199,4,4</stp>
        <stp>6501</stp>
        <stp>D</stp>
        <stp>20160401</stp>
        <stp>3000</stp>
        <tr r="E200" s="3"/>
      </tp>
      <tp t="s">
        <v/>
        <stp/>
        <stp>ChartPast</stp>
        <stp>2386437116064,377,377,4,4</stp>
        <stp>9502</stp>
        <stp>D</stp>
        <stp>20160401</stp>
        <stp>3000</stp>
        <tr r="E378" s="3"/>
      </tp>
      <tp t="s">
        <v/>
        <stp/>
        <stp>ChartPast</stp>
        <stp>2386437116064,378,378,4,4</stp>
        <stp>9503</stp>
        <stp>D</stp>
        <stp>20160401</stp>
        <stp>3000</stp>
        <tr r="E379" s="3"/>
      </tp>
      <tp t="s">
        <v/>
        <stp/>
        <stp>ChartPast</stp>
        <stp>2386437116064,112,112,4,4</stp>
        <stp>4503</stp>
        <stp>D</stp>
        <stp>20160401</stp>
        <stp>3000</stp>
        <tr r="E113" s="3"/>
      </tp>
      <tp t="s">
        <v/>
        <stp/>
        <stp>ChartPast</stp>
        <stp>2386437116064,200,200,4,4</stp>
        <stp>6503</stp>
        <stp>D</stp>
        <stp>20160401</stp>
        <stp>3000</stp>
        <tr r="E201" s="3"/>
      </tp>
    </main>
    <main first="rtdsrv.9a0e439d503c4134b124aa8a925fc5f1">
      <tp t="s">
        <v/>
        <stp/>
        <stp>ChartPast</stp>
        <stp>2386437116064,381,381,4,4</stp>
        <stp>9508</stp>
        <stp>D</stp>
        <stp>20160401</stp>
        <stp>3000</stp>
        <tr r="E382" s="3"/>
      </tp>
      <tp t="s">
        <v/>
        <stp/>
        <stp>ChartPast</stp>
        <stp>2386437116064,382,382,4,4</stp>
        <stp>9509</stp>
        <stp>D</stp>
        <stp>20160401</stp>
        <stp>3000</stp>
        <tr r="E383" s="3"/>
      </tp>
      <tp t="s">
        <v/>
        <stp/>
        <stp>ChartPast</stp>
        <stp>2386437116064,384,384,4,4</stp>
        <stp>9531</stp>
        <stp>D</stp>
        <stp>20160401</stp>
        <stp>3000</stp>
        <tr r="E385" s="3"/>
      </tp>
      <tp t="s">
        <v/>
        <stp/>
        <stp>ChartPast</stp>
        <stp>2386437116064,385,385,4,4</stp>
        <stp>9532</stp>
        <stp>D</stp>
        <stp>20160401</stp>
        <stp>3000</stp>
        <tr r="E386" s="3"/>
      </tp>
      <tp t="s">
        <v/>
        <stp/>
        <stp>ChartPast</stp>
        <stp>2386437116064,203,203,4,4</stp>
        <stp>6532</stp>
        <stp>D</stp>
        <stp>20160401</stp>
        <stp>3000</stp>
        <tr r="E204" s="3"/>
      </tp>
      <tp t="s">
        <v/>
        <stp/>
        <stp>ChartPast</stp>
        <stp>2386437116064,262,262,4,4</stp>
        <stp>7532</stp>
        <stp>D</stp>
        <stp>20160401</stp>
        <stp>3000</stp>
        <tr r="E263" s="3"/>
      </tp>
    </main>
    <main first="rtdsrv.9a0e439d503c4134b124aa8a925fc5f1">
      <tp t="s">
        <v/>
        <stp/>
        <stp>ChartPast</stp>
        <stp>2386437116064,117,117,4,4</stp>
        <stp>4527</stp>
        <stp>D</stp>
        <stp>20160401</stp>
        <stp>3000</stp>
        <tr r="E118" s="3"/>
      </tp>
      <tp t="s">
        <v/>
        <stp/>
        <stp>ChartPast</stp>
        <stp>2386437116064,116,116,4,4</stp>
        <stp>4523</stp>
        <stp>D</stp>
        <stp>20160401</stp>
        <stp>3000</stp>
        <tr r="E117" s="3"/>
      </tp>
    </main>
    <main first="rtdsrv.9a0e439d503c4134b124aa8a925fc5f1">
      <tp t="s">
        <v/>
        <stp/>
        <stp>ChartPast</stp>
        <stp>2386437116064,118,118,4,4</stp>
        <stp>4528</stp>
        <stp>D</stp>
        <stp>20160401</stp>
        <stp>3000</stp>
        <tr r="E119" s="3"/>
      </tp>
      <tp t="s">
        <v/>
        <stp/>
        <stp>ChartPast</stp>
        <stp>2386437116064,263,263,4,4</stp>
        <stp>7550</stp>
        <stp>D</stp>
        <stp>20160401</stp>
        <stp>3000</stp>
        <tr r="E264" s="3"/>
      </tp>
    </main>
    <main first="rtdsrv.9a0e439d503c4134b124aa8a925fc5f1">
      <tp t="s">
        <v/>
        <stp/>
        <stp>ChartPast</stp>
        <stp>2386437116064,204,204,4,4</stp>
        <stp>6544</stp>
        <stp>D</stp>
        <stp>20160401</stp>
        <stp>3000</stp>
        <tr r="E205" s="3"/>
      </tp>
      <tp t="s">
        <v/>
        <stp/>
        <stp>ChartPast</stp>
        <stp>2386437116064,119,119,4,4</stp>
        <stp>4543</stp>
        <stp>D</stp>
        <stp>20160401</stp>
        <stp>3000</stp>
        <tr r="E120" s="3"/>
      </tp>
    </main>
    <main first="rtdsrv.9a0e439d503c4134b124aa8a925fc5f1">
      <tp t="s">
        <v/>
        <stp/>
        <stp>ChartPast</stp>
        <stp>2386437116064,326,326,4,4</stp>
        <stp>8572</stp>
        <stp>D</stp>
        <stp>20160401</stp>
        <stp>3000</stp>
        <tr r="E327" s="3"/>
      </tp>
    </main>
    <main first="rtdsrv.9a0e439d503c4134b124aa8a925fc5f1">
      <tp t="s">
        <v/>
        <stp/>
        <stp>ChartPast</stp>
        <stp>2386437116064,121,121,4,4</stp>
        <stp>4578</stp>
        <stp>D</stp>
        <stp>20160401</stp>
        <stp>3000</stp>
        <tr r="E122" s="3"/>
      </tp>
    </main>
    <main first="rtdsrv.9a0e439d503c4134b124aa8a925fc5f1">
      <tp t="s">
        <v/>
        <stp/>
        <stp>ChartPast</stp>
        <stp>2386437116064,264,264,4,4</stp>
        <stp>7564</stp>
        <stp>D</stp>
        <stp>20160401</stp>
        <stp>3000</stp>
        <tr r="E265" s="3"/>
      </tp>
    </main>
    <main first="rtdsrv.9a0e439d503c4134b124aa8a925fc5f1">
      <tp t="s">
        <v/>
        <stp/>
        <stp>ChartPast</stp>
        <stp>2386437116064,120,120,4,4</stp>
        <stp>4568</stp>
        <stp>D</stp>
        <stp>20160401</stp>
        <stp>3000</stp>
        <tr r="E121" s="3"/>
      </tp>
      <tp t="s">
        <v/>
        <stp/>
        <stp>ChartPast</stp>
        <stp>2386437116064,163,163,4,4</stp>
        <stp>5480</stp>
        <stp>D</stp>
        <stp>20160401</stp>
        <stp>3000</stp>
        <tr r="E164" s="3"/>
      </tp>
      <tp t="s">
        <v/>
        <stp/>
        <stp>ChartPast</stp>
        <stp>2386437116064,192,192,4,4</stp>
        <stp>6417</stp>
        <stp>D</stp>
        <stp>20160401</stp>
        <stp>3000</stp>
        <tr r="E193" s="3"/>
      </tp>
      <tp t="s">
        <v/>
        <stp/>
        <stp>ChartPast</stp>
        <stp>2386437116064,319,319,4,4</stp>
        <stp>8410</stp>
        <stp>D</stp>
        <stp>20160401</stp>
        <stp>3000</stp>
        <tr r="E320" s="3"/>
      </tp>
      <tp t="s">
        <v/>
        <stp/>
        <stp>ChartPast</stp>
        <stp>2386437116064,320,320,4,4</stp>
        <stp>8411</stp>
        <stp>D</stp>
        <stp>20160401</stp>
        <stp>3000</stp>
        <tr r="E321" s="3"/>
      </tp>
      <tp t="s">
        <v/>
        <stp/>
        <stp>ChartPast</stp>
        <stp>2386437116064,159,159,4,4</stp>
        <stp>5411</stp>
        <stp>D</stp>
        <stp>20160401</stp>
        <stp>3000</stp>
        <tr r="E160" s="3"/>
      </tp>
    </main>
    <main first="rtdsrv.9a0e439d503c4134b124aa8a925fc5f1">
      <tp t="s">
        <v/>
        <stp/>
        <stp>ChartPast</stp>
        <stp>2386437116064,371,371,4,4</stp>
        <stp>9418</stp>
        <stp>D</stp>
        <stp>20160401</stp>
        <stp>3000</stp>
        <tr r="E372" s="3"/>
      </tp>
    </main>
    <main first="rtdsrv.9a0e439d503c4134b124aa8a925fc5f1">
      <tp t="s">
        <v/>
        <stp/>
        <stp>ChartPast</stp>
        <stp>2386437116064,259,259,4,4</stp>
        <stp>7419</stp>
        <stp>D</stp>
        <stp>20160401</stp>
        <stp>3000</stp>
        <tr r="E260" s="3"/>
      </tp>
    </main>
    <main first="rtdsrv.9a0e439d503c4134b124aa8a925fc5f1">
      <tp t="s">
        <v/>
        <stp/>
        <stp>ChartPast</stp>
        <stp>2386437116064,158,158,4,4</stp>
        <stp>5406</stp>
        <stp>D</stp>
        <stp>20160401</stp>
        <stp>3000</stp>
        <tr r="E159" s="3"/>
      </tp>
      <tp t="s">
        <v/>
        <stp/>
        <stp>ChartPast</stp>
        <stp>2386437116064,109,109,4,4</stp>
        <stp>4401</stp>
        <stp>D</stp>
        <stp>20160401</stp>
        <stp>3000</stp>
        <tr r="E110" s="3"/>
      </tp>
      <tp t="s">
        <v/>
        <stp/>
        <stp>ChartPast</stp>
        <stp>2386437116064,157,157,4,4</stp>
        <stp>5401</stp>
        <stp>D</stp>
        <stp>20160401</stp>
        <stp>3000</stp>
        <tr r="E158" s="3"/>
      </tp>
      <tp t="s">
        <v/>
        <stp/>
        <stp>ChartPast</stp>
        <stp>2386437116064,110,110,4,4</stp>
        <stp>4403</stp>
        <stp>D</stp>
        <stp>20160401</stp>
        <stp>3000</stp>
        <tr r="E111" s="3"/>
      </tp>
    </main>
    <main first="rtdsrv.9a0e439d503c4134b124aa8a925fc5f1">
      <tp t="s">
        <v/>
        <stp/>
        <stp>ChartPast</stp>
        <stp>2386437116064,374,374,4,4</stp>
        <stp>9434</stp>
        <stp>D</stp>
        <stp>20160401</stp>
        <stp>3000</stp>
        <tr r="E375" s="3"/>
      </tp>
      <tp t="s">
        <v/>
        <stp/>
        <stp>ChartPast</stp>
        <stp>2386437116064,375,375,4,4</stp>
        <stp>9435</stp>
        <stp>D</stp>
        <stp>20160401</stp>
        <stp>3000</stp>
        <tr r="E376" s="3"/>
      </tp>
      <tp t="s">
        <v/>
        <stp/>
        <stp>ChartPast</stp>
        <stp>2386437116064,194,194,4,4</stp>
        <stp>6436</stp>
        <stp>D</stp>
        <stp>20160401</stp>
        <stp>3000</stp>
        <tr r="E195" s="3"/>
      </tp>
      <tp t="s">
        <v/>
        <stp/>
        <stp>ChartPast</stp>
        <stp>2386437116064,372,372,4,4</stp>
        <stp>9432</stp>
        <stp>D</stp>
        <stp>20160401</stp>
        <stp>3000</stp>
        <tr r="E373" s="3"/>
      </tp>
      <tp t="s">
        <v/>
        <stp/>
        <stp>ChartPast</stp>
        <stp>2386437116064,193,193,4,4</stp>
        <stp>6432</stp>
        <stp>D</stp>
        <stp>20160401</stp>
        <stp>3000</stp>
        <tr r="E194" s="3"/>
      </tp>
      <tp t="s">
        <v/>
        <stp/>
        <stp>ChartPast</stp>
        <stp>2386437116064,373,373,4,4</stp>
        <stp>9433</stp>
        <stp>D</stp>
        <stp>20160401</stp>
        <stp>3000</stp>
        <tr r="E374" s="3"/>
      </tp>
      <tp t="s">
        <v/>
        <stp/>
        <stp>ChartPast</stp>
        <stp>2386437116064,323,323,4,4</stp>
        <stp>8439</stp>
        <stp>D</stp>
        <stp>20160401</stp>
        <stp>3000</stp>
        <tr r="E324" s="3"/>
      </tp>
      <tp t="s">
        <v/>
        <stp/>
        <stp>ChartPast</stp>
        <stp>2386437116064,321,321,4,4</stp>
        <stp>8424</stp>
        <stp>D</stp>
        <stp>20160401</stp>
        <stp>3000</stp>
        <tr r="E322" s="3"/>
      </tp>
      <tp t="s">
        <v/>
        <stp/>
        <stp>ChartPast</stp>
        <stp>2386437116064,322,322,4,4</stp>
        <stp>8425</stp>
        <stp>D</stp>
        <stp>20160401</stp>
        <stp>3000</stp>
        <tr r="E323" s="3"/>
      </tp>
      <tp t="s">
        <v/>
        <stp/>
        <stp>ChartPast</stp>
        <stp>2386437116064,160,160,4,4</stp>
        <stp>5423</stp>
        <stp>D</stp>
        <stp>20160401</stp>
        <stp>3000</stp>
        <tr r="E161" s="3"/>
      </tp>
    </main>
    <main first="rtdsrv.9a0e439d503c4134b124aa8a925fc5f1">
      <tp t="s">
        <v/>
        <stp/>
        <stp>ChartPast</stp>
        <stp>2386437116064,111,111,4,4</stp>
        <stp>4452</stp>
        <stp>D</stp>
        <stp>20160401</stp>
        <stp>3000</stp>
        <tr r="E112" s="3"/>
      </tp>
    </main>
    <main first="rtdsrv.9a0e439d503c4134b124aa8a925fc5f1">
      <tp t="s">
        <v/>
        <stp/>
        <stp>ChartPast</stp>
        <stp>2386437116064,260,260,4,4</stp>
        <stp>7453</stp>
        <stp>D</stp>
        <stp>20160401</stp>
        <stp>3000</stp>
        <tr r="E261" s="3"/>
      </tp>
    </main>
    <main first="rtdsrv.9a0e439d503c4134b124aa8a925fc5f1">
      <tp t="s">
        <v/>
        <stp/>
        <stp>ChartPast</stp>
        <stp>2386437116064,261,261,4,4</stp>
        <stp>7459</stp>
        <stp>D</stp>
        <stp>20160401</stp>
        <stp>3000</stp>
        <tr r="E262" s="3"/>
      </tp>
    </main>
    <main first="rtdsrv.9a0e439d503c4134b124aa8a925fc5f1">
      <tp t="s">
        <v/>
        <stp/>
        <stp>ChartPast</stp>
        <stp>2386437116064,161,161,4,4</stp>
        <stp>5444</stp>
        <stp>D</stp>
        <stp>20160401</stp>
        <stp>3000</stp>
        <tr r="E162" s="3"/>
      </tp>
    </main>
    <main first="rtdsrv.9a0e439d503c4134b124aa8a925fc5f1">
      <tp t="s">
        <v/>
        <stp/>
        <stp>ChartPast</stp>
        <stp>2386437116064,195,195,4,4</stp>
        <stp>6448</stp>
        <stp>D</stp>
        <stp>20160401</stp>
        <stp>3000</stp>
        <tr r="E196" s="3"/>
      </tp>
      <tp t="s">
        <v/>
        <stp/>
        <stp>ChartPast</stp>
        <stp>2386437116064,376,376,4,4</stp>
        <stp>9449</stp>
        <stp>D</stp>
        <stp>20160401</stp>
        <stp>3000</stp>
        <tr r="E377" s="3"/>
      </tp>
    </main>
    <main first="rtdsrv.9a0e439d503c4134b124aa8a925fc5f1">
      <tp t="s">
        <v/>
        <stp/>
        <stp>ChartPast</stp>
        <stp>2386437116064,162,162,4,4</stp>
        <stp>5471</stp>
        <stp>D</stp>
        <stp>20160401</stp>
        <stp>3000</stp>
        <tr r="E163" s="3"/>
      </tp>
    </main>
    <main first="rtdsrv.9a0e439d503c4134b124aa8a925fc5f1">
      <tp t="s">
        <v/>
        <stp/>
        <stp>ChartPast</stp>
        <stp>2386437116064,324,324,4,4</stp>
        <stp>8473</stp>
        <stp>D</stp>
        <stp>20160401</stp>
        <stp>3000</stp>
        <tr r="E325" s="3"/>
      </tp>
    </main>
    <main first="rtdsrv.9a0e439d503c4134b124aa8a925fc5f1">
      <tp t="s">
        <v/>
        <stp/>
        <stp>ChartPast</stp>
        <stp>2386437116064,198,198,4,4</stp>
        <stp>6479</stp>
        <stp>D</stp>
        <stp>20160401</stp>
        <stp>3000</stp>
        <tr r="E199" s="3"/>
      </tp>
    </main>
    <main first="rtdsrv.9a0e439d503c4134b124aa8a925fc5f1">
      <tp t="s">
        <v/>
        <stp/>
        <stp>ChartPast</stp>
        <stp>2386437116064,197,197,4,4</stp>
        <stp>6465</stp>
        <stp>D</stp>
        <stp>20160401</stp>
        <stp>3000</stp>
        <tr r="E198" s="3"/>
      </tp>
      <tp t="s">
        <v/>
        <stp/>
        <stp>ChartPast</stp>
        <stp>2386437116064,196,196,4,4</stp>
        <stp>6460</stp>
        <stp>D</stp>
        <stp>20160401</stp>
        <stp>3000</stp>
        <tr r="E197" s="3"/>
      </tp>
    </main>
    <main first="rtdsrv.9a0e439d503c4134b124aa8a925fc5f1">
      <tp t="s">
        <v/>
        <stp/>
        <stp>ChartPast</stp>
        <stp>2386437116064,156,156,4,4</stp>
        <stp>5393</stp>
        <stp>D</stp>
        <stp>20160401</stp>
        <stp>3000</stp>
        <tr r="E157" s="3"/>
      </tp>
      <tp t="s">
        <v/>
        <stp/>
        <stp>ChartPast</stp>
        <stp>2386437116064,108,108,4,4</stp>
        <stp>4385</stp>
        <stp>D</stp>
        <stp>20160401</stp>
        <stp>3000</stp>
        <tr r="E109" s="3"/>
      </tp>
      <tp t="s">
        <v/>
        <stp/>
        <stp>ChartPast</stp>
        <stp>2386437116064,191,191,4,4</stp>
        <stp>6383</stp>
        <stp>D</stp>
        <stp>20160401</stp>
        <stp>3000</stp>
        <tr r="E192" s="3"/>
      </tp>
      <tp t="s">
        <v/>
        <stp/>
        <stp>ChartPast</stp>
        <stp>2386437116064,316,316,4,4</stp>
        <stp>8316</stp>
        <stp>D</stp>
        <stp>20160401</stp>
        <stp>3000</stp>
        <tr r="E317" s="3"/>
      </tp>
      <tp t="s">
        <v/>
        <stp/>
        <stp>ChartPast</stp>
        <stp>2386437116064,185,185,4,4</stp>
        <stp>6305</stp>
        <stp>D</stp>
        <stp>20160401</stp>
        <stp>3000</stp>
        <tr r="E186" s="3"/>
      </tp>
      <tp t="s">
        <v/>
        <stp/>
        <stp>ChartPast</stp>
        <stp>2386437116064,313,313,4,4</stp>
        <stp>8306</stp>
        <stp>D</stp>
        <stp>20160401</stp>
        <stp>3000</stp>
        <tr r="E314" s="3"/>
      </tp>
      <tp t="s">
        <v/>
        <stp/>
        <stp>ChartPast</stp>
        <stp>2386437116064,107,107,4,4</stp>
        <stp>4307</stp>
        <stp>D</stp>
        <stp>20160401</stp>
        <stp>3000</stp>
        <tr r="E108" s="3"/>
      </tp>
      <tp t="s">
        <v/>
        <stp/>
        <stp>ChartPast</stp>
        <stp>2386437116064,184,184,4,4</stp>
        <stp>6301</stp>
        <stp>D</stp>
        <stp>20160401</stp>
        <stp>3000</stp>
        <tr r="E185" s="3"/>
      </tp>
      <tp t="s">
        <v/>
        <stp/>
        <stp>ChartPast</stp>
        <stp>2386437116064,370,370,4,4</stp>
        <stp>9302</stp>
        <stp>D</stp>
        <stp>20160401</stp>
        <stp>3000</stp>
        <tr r="E371" s="3"/>
      </tp>
      <tp t="s">
        <v/>
        <stp/>
        <stp>ChartPast</stp>
        <stp>2386437116064,314,314,4,4</stp>
        <stp>8308</stp>
        <stp>D</stp>
        <stp>20160401</stp>
        <stp>3000</stp>
        <tr r="E315" s="3"/>
      </tp>
      <tp t="s">
        <v/>
        <stp/>
        <stp>ChartPast</stp>
        <stp>2386437116064,315,315,4,4</stp>
        <stp>8309</stp>
        <stp>D</stp>
        <stp>20160401</stp>
        <stp>3000</stp>
        <tr r="E316" s="3"/>
      </tp>
      <tp t="s">
        <v/>
        <stp/>
        <stp>ChartPast</stp>
        <stp>2386437116064,258,258,4,4</stp>
        <stp>7309</stp>
        <stp>D</stp>
        <stp>20160401</stp>
        <stp>3000</stp>
        <tr r="E259" s="3"/>
      </tp>
      <tp t="s">
        <v/>
        <stp/>
        <stp>ChartPast</stp>
        <stp>2386437116064,154,154,4,4</stp>
        <stp>5334</stp>
        <stp>D</stp>
        <stp>20160401</stp>
        <stp>3000</stp>
        <tr r="E155" s="3"/>
      </tp>
      <tp t="s">
        <v/>
        <stp/>
        <stp>ChartPast</stp>
        <stp>2386437116064,317,317,4,4</stp>
        <stp>8331</stp>
        <stp>D</stp>
        <stp>20160401</stp>
        <stp>3000</stp>
        <tr r="E318" s="3"/>
      </tp>
      <tp t="s">
        <v/>
        <stp/>
        <stp>ChartPast</stp>
        <stp>2386437116064,152,152,4,4</stp>
        <stp>5332</stp>
        <stp>D</stp>
        <stp>20160401</stp>
        <stp>3000</stp>
        <tr r="E153" s="3"/>
      </tp>
      <tp t="s">
        <v/>
        <stp/>
        <stp>ChartPast</stp>
        <stp>2386437116064,153,153,4,4</stp>
        <stp>5333</stp>
        <stp>D</stp>
        <stp>20160401</stp>
        <stp>3000</stp>
        <tr r="E154" s="3"/>
      </tp>
      <tp t="s">
        <v/>
        <stp/>
        <stp>ChartPast</stp>
        <stp>2386437116064,187,187,4,4</stp>
        <stp>6326</stp>
        <stp>D</stp>
        <stp>20160401</stp>
        <stp>3000</stp>
        <tr r="E188" s="3"/>
      </tp>
      <tp t="s">
        <v/>
        <stp/>
        <stp>ChartPast</stp>
        <stp>2386437116064,186,186,4,4</stp>
        <stp>6323</stp>
        <stp>D</stp>
        <stp>20160401</stp>
        <stp>3000</stp>
        <tr r="E187" s="3"/>
      </tp>
      <tp t="s">
        <v/>
        <stp/>
        <stp>ChartPast</stp>
        <stp>2386437116064,318,318,4,4</stp>
        <stp>8354</stp>
        <stp>D</stp>
        <stp>20160401</stp>
        <stp>3000</stp>
        <tr r="E319" s="3"/>
      </tp>
      <tp t="s">
        <v/>
        <stp/>
        <stp>ChartPast</stp>
        <stp>2386437116064,155,155,4,4</stp>
        <stp>5344</stp>
        <stp>D</stp>
        <stp>20160401</stp>
        <stp>3000</stp>
        <tr r="E156" s="3"/>
      </tp>
      <tp t="s">
        <v/>
        <stp/>
        <stp>ChartPast</stp>
        <stp>2386437116064,189,189,4,4</stp>
        <stp>6367</stp>
        <stp>D</stp>
        <stp>20160401</stp>
        <stp>3000</stp>
        <tr r="E190" s="3"/>
      </tp>
      <tp t="s">
        <v/>
        <stp/>
        <stp>ChartPast</stp>
        <stp>2386437116064,188,188,4,4</stp>
        <stp>6361</stp>
        <stp>D</stp>
        <stp>20160401</stp>
        <stp>3000</stp>
        <tr r="E189" s="3"/>
      </tp>
      <tp t="s">
        <v/>
        <stp/>
        <stp>ChartPast</stp>
        <stp>2386437116064,190,190,4,4</stp>
        <stp>6368</stp>
        <stp>D</stp>
        <stp>20160401</stp>
        <stp>3000</stp>
        <tr r="E191" s="3"/>
      </tp>
      <tp t="s">
        <v/>
        <stp/>
        <stp>ChartPast</stp>
        <stp>2386437116064,257,257,4,4</stp>
        <stp>7282</stp>
        <stp>D</stp>
        <stp>20160401</stp>
        <stp>3000</stp>
        <tr r="E258" s="3"/>
      </tp>
      <tp t="s">
        <v/>
        <stp/>
        <stp>ChartPast</stp>
        <stp>2386437116064,249,249,4,4</stp>
        <stp>7211</stp>
        <stp>D</stp>
        <stp>20160401</stp>
        <stp>3000</stp>
        <tr r="E250" s="3"/>
      </tp>
      <tp t="s">
        <v/>
        <stp/>
        <stp>ChartPast</stp>
        <stp>2386437116064,106,106,4,4</stp>
        <stp>4204</stp>
        <stp>D</stp>
        <stp>20160401</stp>
        <stp>3000</stp>
        <tr r="E107" s="3"/>
      </tp>
      <tp t="s">
        <v/>
        <stp/>
        <stp>ChartPast</stp>
        <stp>2386437116064,368,368,4,4</stp>
        <stp>9201</stp>
        <stp>D</stp>
        <stp>20160401</stp>
        <stp>3000</stp>
        <tr r="E369" s="3"/>
      </tp>
      <tp t="s">
        <v/>
        <stp/>
        <stp>ChartPast</stp>
        <stp>2386437116064,180,180,4,4</stp>
        <stp>6201</stp>
        <stp>D</stp>
        <stp>20160401</stp>
        <stp>3000</stp>
        <tr r="E181" s="3"/>
      </tp>
      <tp t="s">
        <v/>
        <stp/>
        <stp>ChartPast</stp>
        <stp>2386437116064,369,369,4,4</stp>
        <stp>9202</stp>
        <stp>D</stp>
        <stp>20160401</stp>
        <stp>3000</stp>
        <tr r="E370" s="3"/>
      </tp>
      <tp t="s">
        <v/>
        <stp/>
        <stp>ChartPast</stp>
        <stp>2386437116064,104,104,4,4</stp>
        <stp>4202</stp>
        <stp>D</stp>
        <stp>20160401</stp>
        <stp>3000</stp>
        <tr r="E105" s="3"/>
      </tp>
      <tp t="s">
        <v/>
        <stp/>
        <stp>ChartPast</stp>
        <stp>2386437116064,247,247,4,4</stp>
        <stp>7202</stp>
        <stp>D</stp>
        <stp>20160401</stp>
        <stp>3000</stp>
        <tr r="E248" s="3"/>
      </tp>
      <tp t="s">
        <v/>
        <stp/>
        <stp>ChartPast</stp>
        <stp>2386437116064,105,105,4,4</stp>
        <stp>4203</stp>
        <stp>D</stp>
        <stp>20160401</stp>
        <stp>3000</stp>
        <tr r="E106" s="3"/>
      </tp>
      <tp t="s">
        <v/>
        <stp/>
        <stp>ChartPast</stp>
        <stp>2386437116064,248,248,4,4</stp>
        <stp>7203</stp>
        <stp>D</stp>
        <stp>20160401</stp>
        <stp>3000</stp>
        <tr r="E249" s="3"/>
      </tp>
      <tp t="s">
        <v/>
        <stp/>
        <stp>ChartPast</stp>
        <stp>2386437116064,310,310,4,4</stp>
        <stp>8227</stp>
        <stp>D</stp>
        <stp>20160401</stp>
        <stp>3000</stp>
        <tr r="E311" s="3"/>
      </tp>
      <tp t="s">
        <v/>
        <stp/>
        <stp>ChartPast</stp>
        <stp>2386437116064,181,181,4,4</stp>
        <stp>6254</stp>
        <stp>D</stp>
        <stp>20160401</stp>
        <stp>3000</stp>
        <tr r="E182" s="3"/>
      </tp>
      <tp t="s">
        <v/>
        <stp/>
        <stp>ChartPast</stp>
        <stp>2386437116064,311,311,4,4</stp>
        <stp>8252</stp>
        <stp>D</stp>
        <stp>20160401</stp>
        <stp>3000</stp>
        <tr r="E312" s="3"/>
      </tp>
      <tp t="s">
        <v/>
        <stp/>
        <stp>ChartPast</stp>
        <stp>2386437116064,312,312,4,4</stp>
        <stp>8253</stp>
        <stp>D</stp>
        <stp>20160401</stp>
        <stp>3000</stp>
        <tr r="E313" s="3"/>
      </tp>
      <tp t="s">
        <v/>
        <stp/>
        <stp>ChartPast</stp>
        <stp>2386437116064,250,250,4,4</stp>
        <stp>7259</stp>
        <stp>D</stp>
        <stp>20160401</stp>
        <stp>3000</stp>
        <tr r="E251" s="3"/>
      </tp>
      <tp t="s">
        <v/>
        <stp/>
        <stp>ChartPast</stp>
        <stp>2386437116064,256,256,4,4</stp>
        <stp>7276</stp>
        <stp>D</stp>
        <stp>20160401</stp>
        <stp>3000</stp>
        <tr r="E257" s="3"/>
      </tp>
      <tp t="s">
        <v/>
        <stp/>
        <stp>ChartPast</stp>
        <stp>2386437116064,254,254,4,4</stp>
        <stp>7270</stp>
        <stp>D</stp>
        <stp>20160401</stp>
        <stp>3000</stp>
        <tr r="E255" s="3"/>
      </tp>
      <tp t="s">
        <v/>
        <stp/>
        <stp>ChartPast</stp>
        <stp>2386437116064,255,255,4,4</stp>
        <stp>7272</stp>
        <stp>D</stp>
        <stp>20160401</stp>
        <stp>3000</stp>
        <tr r="E256" s="3"/>
      </tp>
      <tp t="s">
        <v/>
        <stp/>
        <stp>ChartPast</stp>
        <stp>2386437116064,183,183,4,4</stp>
        <stp>6273</stp>
        <stp>D</stp>
        <stp>20160401</stp>
        <stp>3000</stp>
        <tr r="E184" s="3"/>
      </tp>
      <tp t="s">
        <v/>
        <stp/>
        <stp>ChartPast</stp>
        <stp>2386437116064,252,252,4,4</stp>
        <stp>7267</stp>
        <stp>D</stp>
        <stp>20160401</stp>
        <stp>3000</stp>
        <tr r="E253" s="3"/>
      </tp>
      <tp t="s">
        <v/>
        <stp/>
        <stp>ChartPast</stp>
        <stp>2386437116064,251,251,4,4</stp>
        <stp>7261</stp>
        <stp>D</stp>
        <stp>20160401</stp>
        <stp>3000</stp>
        <tr r="E252" s="3"/>
      </tp>
      <tp t="s">
        <v/>
        <stp/>
        <stp>ChartPast</stp>
        <stp>2386437116064,182,182,4,4</stp>
        <stp>6269</stp>
        <stp>D</stp>
        <stp>20160401</stp>
        <stp>3000</stp>
        <tr r="E183" s="3"/>
      </tp>
      <tp t="s">
        <v/>
        <stp/>
        <stp>ChartPast</stp>
        <stp>2386437116064,253,253,4,4</stp>
        <stp>7269</stp>
        <stp>D</stp>
        <stp>20160401</stp>
        <stp>3000</stp>
        <tr r="E254" s="3"/>
      </tp>
      <tp t="s">
        <v/>
        <stp/>
        <stp>ChartPast</stp>
        <stp>2386437116064,309,309,4,4</stp>
        <stp>8194</stp>
        <stp>D</stp>
        <stp>20160401</stp>
        <stp>3000</stp>
        <tr r="E310" s="3"/>
      </tp>
      <tp t="s">
        <v/>
        <stp/>
        <stp>ChartPast</stp>
        <stp>2386437116064,103,103,4,4</stp>
        <stp>4194</stp>
        <stp>D</stp>
        <stp>20160401</stp>
        <stp>3000</stp>
        <tr r="E104" s="3"/>
      </tp>
      <tp t="s">
        <v/>
        <stp/>
        <stp>ChartPast</stp>
        <stp>2386437116064,101,101,4,4</stp>
        <stp>4186</stp>
        <stp>D</stp>
        <stp>20160401</stp>
        <stp>3000</stp>
        <tr r="E102" s="3"/>
      </tp>
      <tp t="s">
        <v/>
        <stp/>
        <stp>ChartPast</stp>
        <stp>2386437116064,246,246,4,4</stp>
        <stp>7186</stp>
        <stp>D</stp>
        <stp>20160401</stp>
        <stp>3000</stp>
        <tr r="E247" s="3"/>
      </tp>
      <tp t="s">
        <v/>
        <stp/>
        <stp>ChartPast</stp>
        <stp>2386437116064,100,100,4,4</stp>
        <stp>4183</stp>
        <stp>D</stp>
        <stp>20160401</stp>
        <stp>3000</stp>
        <tr r="E101" s="3"/>
      </tp>
      <tp t="s">
        <v/>
        <stp/>
        <stp>ChartPast</stp>
        <stp>2386437116064,102,102,4,4</stp>
        <stp>4188</stp>
        <stp>D</stp>
        <stp>20160401</stp>
        <stp>3000</stp>
        <tr r="E103" s="3"/>
      </tp>
      <tp t="s">
        <v/>
        <stp/>
        <stp>ChartPast</stp>
        <stp>2386437116064,363,363,4,4</stp>
        <stp>9110</stp>
        <stp>D</stp>
        <stp>20160401</stp>
        <stp>3000</stp>
        <tr r="E364" s="3"/>
      </tp>
      <tp t="s">
        <v/>
        <stp/>
        <stp>ChartPast</stp>
        <stp>2386437116064,302,302,4,4</stp>
        <stp>8111</stp>
        <stp>D</stp>
        <stp>20160401</stp>
        <stp>3000</stp>
        <tr r="E303" s="3"/>
      </tp>
      <tp t="s">
        <v/>
        <stp/>
        <stp>ChartPast</stp>
        <stp>2386437116064,303,303,4,4</stp>
        <stp>8113</stp>
        <stp>D</stp>
        <stp>20160401</stp>
        <stp>3000</stp>
        <tr r="E304" s="3"/>
      </tp>
      <tp t="s">
        <v/>
        <stp/>
        <stp>ChartPast</stp>
        <stp>2386437116064,177,177,4,4</stp>
        <stp>6113</stp>
        <stp>D</stp>
        <stp>20160401</stp>
        <stp>3000</stp>
        <tr r="E178" s="3"/>
      </tp>
      <tp t="s">
        <v/>
        <stp/>
        <stp>ChartPast</stp>
        <stp>2386437116064,364,364,4,4</stp>
        <stp>9119</stp>
        <stp>D</stp>
        <stp>20160401</stp>
        <stp>3000</stp>
        <tr r="E365" s="3"/>
      </tp>
      <tp t="s">
        <v/>
        <stp/>
        <stp>ChartPast</stp>
        <stp>2386437116064,361,361,4,4</stp>
        <stp>9104</stp>
        <stp>D</stp>
        <stp>20160401</stp>
        <stp>3000</stp>
        <tr r="E362" s="3"/>
      </tp>
      <tp t="s">
        <v/>
        <stp/>
        <stp>ChartPast</stp>
        <stp>2386437116064,150,150,4,4</stp>
        <stp>5105</stp>
        <stp>D</stp>
        <stp>20160401</stp>
        <stp>3000</stp>
        <tr r="E151" s="3"/>
      </tp>
      <tp t="s">
        <v/>
        <stp/>
        <stp>ChartPast</stp>
        <stp>2386437116064,242,242,4,4</stp>
        <stp>7105</stp>
        <stp>D</stp>
        <stp>20160401</stp>
        <stp>3000</stp>
        <tr r="E243" s="3"/>
      </tp>
      <tp t="s">
        <v/>
        <stp/>
        <stp>ChartPast</stp>
        <stp>2386437116064,362,362,4,4</stp>
        <stp>9107</stp>
        <stp>D</stp>
        <stp>20160401</stp>
        <stp>3000</stp>
        <tr r="E363" s="3"/>
      </tp>
      <tp t="s">
        <v/>
        <stp/>
        <stp>ChartPast</stp>
        <stp>2386437116064,360,360,4,4</stp>
        <stp>9101</stp>
        <stp>D</stp>
        <stp>20160401</stp>
        <stp>3000</stp>
        <tr r="E361" s="3"/>
      </tp>
      <tp t="s">
        <v/>
        <stp/>
        <stp>ChartPast</stp>
        <stp>2386437116064,149,149,4,4</stp>
        <stp>5101</stp>
        <stp>D</stp>
        <stp>20160401</stp>
        <stp>3000</stp>
        <tr r="E150" s="3"/>
      </tp>
      <tp t="s">
        <v/>
        <stp/>
        <stp>ChartPast</stp>
        <stp>2386437116064,176,176,4,4</stp>
        <stp>6101</stp>
        <stp>D</stp>
        <stp>20160401</stp>
        <stp>3000</stp>
        <tr r="E177" s="3"/>
      </tp>
      <tp t="s">
        <v/>
        <stp/>
        <stp>ChartPast</stp>
        <stp>2386437116064,151,151,4,4</stp>
        <stp>5108</stp>
        <stp>D</stp>
        <stp>20160401</stp>
        <stp>3000</stp>
        <tr r="E152" s="3"/>
      </tp>
      <tp t="s">
        <v/>
        <stp/>
        <stp>ChartPast</stp>
        <stp>2386437116064,306,306,4,4</stp>
        <stp>8136</stp>
        <stp>D</stp>
        <stp>20160401</stp>
        <stp>3000</stp>
        <tr r="E307" s="3"/>
      </tp>
      <tp t="s">
        <v/>
        <stp/>
        <stp>ChartPast</stp>
        <stp>2386437116064,304,304,4,4</stp>
        <stp>8130</stp>
        <stp>D</stp>
        <stp>20160401</stp>
        <stp>3000</stp>
        <tr r="E305" s="3"/>
      </tp>
      <tp t="s">
        <v/>
        <stp/>
        <stp>ChartPast</stp>
        <stp>2386437116064,305,305,4,4</stp>
        <stp>8133</stp>
        <stp>D</stp>
        <stp>20160401</stp>
        <stp>3000</stp>
        <tr r="E306" s="3"/>
      </tp>
      <tp t="s">
        <v/>
        <stp/>
        <stp>ChartPast</stp>
        <stp>2386437116064,307,307,4,4</stp>
        <stp>8154</stp>
        <stp>D</stp>
        <stp>20160401</stp>
        <stp>3000</stp>
        <tr r="E308" s="3"/>
      </tp>
      <tp t="s">
        <v/>
        <stp/>
        <stp>ChartPast</stp>
        <stp>2386437116064,179,179,4,4</stp>
        <stp>6146</stp>
        <stp>D</stp>
        <stp>20160401</stp>
        <stp>3000</stp>
        <tr r="E180" s="3"/>
      </tp>
      <tp t="s">
        <v/>
        <stp/>
        <stp>ChartPast</stp>
        <stp>2386437116064,367,367,4,4</stp>
        <stp>9147</stp>
        <stp>D</stp>
        <stp>20160401</stp>
        <stp>3000</stp>
        <tr r="E368" s="3"/>
      </tp>
      <tp t="s">
        <v/>
        <stp/>
        <stp>ChartPast</stp>
        <stp>2386437116064,178,178,4,4</stp>
        <stp>6141</stp>
        <stp>D</stp>
        <stp>20160401</stp>
        <stp>3000</stp>
        <tr r="E179" s="3"/>
      </tp>
      <tp t="s">
        <v/>
        <stp/>
        <stp>ChartPast</stp>
        <stp>2386437116064,365,365,4,4</stp>
        <stp>9142</stp>
        <stp>D</stp>
        <stp>20160401</stp>
        <stp>3000</stp>
        <tr r="E366" s="3"/>
      </tp>
      <tp t="s">
        <v/>
        <stp/>
        <stp>ChartPast</stp>
        <stp>2386437116064,366,366,4,4</stp>
        <stp>9143</stp>
        <stp>D</stp>
        <stp>20160401</stp>
        <stp>3000</stp>
        <tr r="E367" s="3"/>
      </tp>
      <tp t="s">
        <v/>
        <stp/>
        <stp>ChartPast</stp>
        <stp>2386437116064,243,243,4,4</stp>
        <stp>7148</stp>
        <stp>D</stp>
        <stp>20160401</stp>
        <stp>3000</stp>
        <tr r="E244" s="3"/>
      </tp>
      <tp t="s">
        <v/>
        <stp/>
        <stp>ChartPast</stp>
        <stp>2386437116064,308,308,4,4</stp>
        <stp>8174</stp>
        <stp>D</stp>
        <stp>20160401</stp>
        <stp>3000</stp>
        <tr r="E309" s="3"/>
      </tp>
      <tp t="s">
        <v/>
        <stp/>
        <stp>ChartPast</stp>
        <stp>2386437116064,244,244,4,4</stp>
        <stp>7164</stp>
        <stp>D</stp>
        <stp>20160401</stp>
        <stp>3000</stp>
        <tr r="E245" s="3"/>
      </tp>
      <tp t="s">
        <v/>
        <stp/>
        <stp>ChartPast</stp>
        <stp>2386437116064,245,245,4,4</stp>
        <stp>7167</stp>
        <stp>D</stp>
        <stp>20160401</stp>
        <stp>3000</stp>
        <tr r="E246" s="3"/>
      </tp>
      <tp t="s">
        <v/>
        <stp/>
        <stp>ChartPast</stp>
        <stp>2386437116064,359,359,4,4</stp>
        <stp>9090</stp>
        <stp>D</stp>
        <stp>20160401</stp>
        <stp>3000</stp>
        <tr r="E360" s="3"/>
      </tp>
      <tp t="s">
        <v/>
        <stp/>
        <stp>ChartPast</stp>
        <stp>2386437116064,301,301,4,4</stp>
        <stp>8098</stp>
        <stp>D</stp>
        <stp>20160401</stp>
        <stp>3000</stp>
        <tr r="E302" s="3"/>
      </tp>
      <tp t="s">
        <v/>
        <stp/>
        <stp>ChartPast</stp>
        <stp>2386437116064,175,175,4,4</stp>
        <stp>6098</stp>
        <stp>D</stp>
        <stp>20160401</stp>
        <stp>3000</stp>
        <tr r="E176" s="3"/>
      </tp>
      <tp t="s">
        <v/>
        <stp/>
        <stp>ChartPast</stp>
        <stp>2386437116064,300,300,4,4</stp>
        <stp>8088</stp>
        <stp>D</stp>
        <stp>20160401</stp>
        <stp>3000</stp>
        <tr r="E301" s="3"/>
      </tp>
      <tp t="s">
        <v/>
        <stp/>
        <stp>ChartPast</stp>
        <stp>2386437116064,241,241,4,4</stp>
        <stp>7014</stp>
        <stp>D</stp>
        <stp>20160401</stp>
        <stp>3000</stp>
        <tr r="E242" s="3"/>
      </tp>
      <tp t="s">
        <v/>
        <stp/>
        <stp>ChartPast</stp>
        <stp>2386437116064,291,291,4,4</stp>
        <stp>8015</stp>
        <stp>D</stp>
        <stp>20160401</stp>
        <stp>3000</stp>
        <tr r="E292" s="3"/>
      </tp>
      <tp t="s">
        <v/>
        <stp/>
        <stp>ChartPast</stp>
        <stp>2386437116064,238,238,4,4</stp>
        <stp>7011</stp>
        <stp>D</stp>
        <stp>20160401</stp>
        <stp>3000</stp>
        <tr r="E239" s="3"/>
      </tp>
      <tp t="s">
        <v/>
        <stp/>
        <stp>ChartPast</stp>
        <stp>2386437116064,239,239,4,4</stp>
        <stp>7012</stp>
        <stp>D</stp>
        <stp>20160401</stp>
        <stp>3000</stp>
        <tr r="E240" s="3"/>
      </tp>
      <tp t="s">
        <v/>
        <stp/>
        <stp>ChartPast</stp>
        <stp>2386437116064,240,240,4,4</stp>
        <stp>7013</stp>
        <stp>D</stp>
        <stp>20160401</stp>
        <stp>3000</stp>
        <tr r="E241" s="3"/>
      </tp>
      <tp t="s">
        <v/>
        <stp/>
        <stp>ChartPast</stp>
        <stp>2386437116064,144,144,4,4</stp>
        <stp>5019</stp>
        <stp>D</stp>
        <stp>20160401</stp>
        <stp>3000</stp>
        <tr r="E145" s="3"/>
      </tp>
      <tp t="s">
        <v/>
        <stp/>
        <stp>ChartPast</stp>
        <stp>2386437116064,237,237,4,4</stp>
        <stp>7004</stp>
        <stp>D</stp>
        <stp>20160401</stp>
        <stp>3000</stp>
        <tr r="E238" s="3"/>
      </tp>
      <tp t="s">
        <v/>
        <stp/>
        <stp>ChartPast</stp>
        <stp>2386437116064,347,347,4,4</stp>
        <stp>9005</stp>
        <stp>D</stp>
        <stp>20160401</stp>
        <stp>3000</stp>
        <tr r="E348" s="3"/>
      </tp>
      <tp t="s">
        <v/>
        <stp/>
        <stp>ChartPast</stp>
        <stp>2386437116064,174,174,4,4</stp>
        <stp>6005</stp>
        <stp>D</stp>
        <stp>20160401</stp>
        <stp>3000</stp>
        <tr r="E175" s="3"/>
      </tp>
      <tp t="s">
        <v/>
        <stp/>
        <stp>ChartPast</stp>
        <stp>2386437116064,348,348,4,4</stp>
        <stp>9006</stp>
        <stp>D</stp>
        <stp>20160401</stp>
        <stp>3000</stp>
        <tr r="E349" s="3"/>
      </tp>
      <tp t="s">
        <v/>
        <stp/>
        <stp>ChartPast</stp>
        <stp>2386437116064,349,349,4,4</stp>
        <stp>9007</stp>
        <stp>D</stp>
        <stp>20160401</stp>
        <stp>3000</stp>
        <tr r="E350" s="3"/>
      </tp>
      <tp t="s">
        <v/>
        <stp/>
        <stp>ChartPast</stp>
        <stp>2386437116064,289,289,4,4</stp>
        <stp>8001</stp>
        <stp>D</stp>
        <stp>20160401</stp>
        <stp>3000</stp>
        <tr r="E290" s="3"/>
      </tp>
      <tp t="s">
        <v/>
        <stp/>
        <stp>ChartPast</stp>
        <stp>2386437116064,290,290,4,4</stp>
        <stp>8002</stp>
        <stp>D</stp>
        <stp>20160401</stp>
        <stp>3000</stp>
        <tr r="E291" s="3"/>
      </tp>
      <tp t="s">
        <v/>
        <stp/>
        <stp>ChartPast</stp>
        <stp>2386437116064,236,236,4,4</stp>
        <stp>7003</stp>
        <stp>D</stp>
        <stp>20160401</stp>
        <stp>3000</stp>
        <tr r="E237" s="3"/>
      </tp>
      <tp t="s">
        <v/>
        <stp/>
        <stp>ChartPast</stp>
        <stp>2386437116064,350,350,4,4</stp>
        <stp>9008</stp>
        <stp>D</stp>
        <stp>20160401</stp>
        <stp>3000</stp>
        <tr r="E351" s="3"/>
      </tp>
      <tp t="s">
        <v/>
        <stp/>
        <stp>ChartPast</stp>
        <stp>2386437116064,351,351,4,4</stp>
        <stp>9009</stp>
        <stp>D</stp>
        <stp>20160401</stp>
        <stp>3000</stp>
        <tr r="E352" s="3"/>
      </tp>
      <tp t="s">
        <v/>
        <stp/>
        <stp>ChartPast</stp>
        <stp>2386437116064,294,294,4,4</stp>
        <stp>8035</stp>
        <stp>D</stp>
        <stp>20160401</stp>
        <stp>3000</stp>
        <tr r="E295" s="3"/>
      </tp>
      <tp t="s">
        <v/>
        <stp/>
        <stp>ChartPast</stp>
        <stp>2386437116064,293,293,4,4</stp>
        <stp>8031</stp>
        <stp>D</stp>
        <stp>20160401</stp>
        <stp>3000</stp>
        <tr r="E294" s="3"/>
      </tp>
      <tp t="s">
        <v/>
        <stp/>
        <stp>ChartPast</stp>
        <stp>2386437116064,147,147,4,4</stp>
        <stp>5032</stp>
        <stp>D</stp>
        <stp>20160401</stp>
        <stp>3000</stp>
        <tr r="E148" s="3"/>
      </tp>
      <tp t="s">
        <v/>
        <stp/>
        <stp>ChartPast</stp>
        <stp>2386437116064,354,354,4,4</stp>
        <stp>9024</stp>
        <stp>D</stp>
        <stp>20160401</stp>
        <stp>3000</stp>
        <tr r="E355" s="3"/>
      </tp>
      <tp t="s">
        <v/>
        <stp/>
        <stp>ChartPast</stp>
        <stp>2386437116064,292,292,4,4</stp>
        <stp>8020</stp>
        <stp>D</stp>
        <stp>20160401</stp>
        <stp>3000</stp>
        <tr r="E293" s="3"/>
      </tp>
      <tp t="s">
        <v/>
        <stp/>
        <stp>ChartPast</stp>
        <stp>2386437116064,145,145,4,4</stp>
        <stp>5020</stp>
        <stp>D</stp>
        <stp>20160401</stp>
        <stp>3000</stp>
        <tr r="E146" s="3"/>
      </tp>
      <tp t="s">
        <v/>
        <stp/>
        <stp>ChartPast</stp>
        <stp>2386437116064,352,352,4,4</stp>
        <stp>9021</stp>
        <stp>D</stp>
        <stp>20160401</stp>
        <stp>3000</stp>
        <tr r="E353" s="3"/>
      </tp>
      <tp t="s">
        <v/>
        <stp/>
        <stp>ChartPast</stp>
        <stp>2386437116064,146,146,4,4</stp>
        <stp>5021</stp>
        <stp>D</stp>
        <stp>20160401</stp>
        <stp>3000</stp>
        <tr r="E147" s="3"/>
      </tp>
      <tp t="s">
        <v/>
        <stp/>
        <stp>ChartPast</stp>
        <stp>2386437116064,353,353,4,4</stp>
        <stp>9022</stp>
        <stp>D</stp>
        <stp>20160401</stp>
        <stp>3000</stp>
        <tr r="E354" s="3"/>
      </tp>
      <tp t="s">
        <v/>
        <stp/>
        <stp>ChartPast</stp>
        <stp>2386437116064,296,296,4,4</stp>
        <stp>8056</stp>
        <stp>D</stp>
        <stp>20160401</stp>
        <stp>3000</stp>
        <tr r="E297" s="3"/>
      </tp>
      <tp t="s">
        <v/>
        <stp/>
        <stp>ChartPast</stp>
        <stp>2386437116064,295,295,4,4</stp>
        <stp>8053</stp>
        <stp>D</stp>
        <stp>20160401</stp>
        <stp>3000</stp>
        <tr r="E296" s="3"/>
      </tp>
      <tp t="s">
        <v/>
        <stp/>
        <stp>ChartPast</stp>
        <stp>2386437116064,297,297,4,4</stp>
        <stp>8058</stp>
        <stp>D</stp>
        <stp>20160401</stp>
        <stp>3000</stp>
        <tr r="E298" s="3"/>
      </tp>
      <tp t="s">
        <v/>
        <stp/>
        <stp>ChartPast</stp>
        <stp>2386437116064,355,355,4,4</stp>
        <stp>9041</stp>
        <stp>D</stp>
        <stp>20160401</stp>
        <stp>3000</stp>
        <tr r="E356" s="3"/>
      </tp>
      <tp t="s">
        <v/>
        <stp/>
        <stp>ChartPast</stp>
        <stp>2386437116064,148,148,4,4</stp>
        <stp>5076</stp>
        <stp>D</stp>
        <stp>20160401</stp>
        <stp>3000</stp>
        <tr r="E149" s="3"/>
      </tp>
      <tp t="s">
        <v/>
        <stp/>
        <stp>ChartPast</stp>
        <stp>2386437116064,299,299,4,4</stp>
        <stp>8078</stp>
        <stp>D</stp>
        <stp>20160401</stp>
        <stp>3000</stp>
        <tr r="E300" s="3"/>
      </tp>
      <tp t="s">
        <v/>
        <stp/>
        <stp>ChartPast</stp>
        <stp>2386437116064,356,356,4,4</stp>
        <stp>9064</stp>
        <stp>D</stp>
        <stp>20160401</stp>
        <stp>3000</stp>
        <tr r="E357" s="3"/>
      </tp>
      <tp t="s">
        <v/>
        <stp/>
        <stp>ChartPast</stp>
        <stp>2386437116064,357,357,4,4</stp>
        <stp>9065</stp>
        <stp>D</stp>
        <stp>20160401</stp>
        <stp>3000</stp>
        <tr r="E358" s="3"/>
      </tp>
      <tp t="s">
        <v/>
        <stp/>
        <stp>ChartPast</stp>
        <stp>2386437116064,298,298,4,4</stp>
        <stp>8060</stp>
        <stp>D</stp>
        <stp>20160401</stp>
        <stp>3000</stp>
        <tr r="E299" s="3"/>
      </tp>
      <tp t="s">
        <v/>
        <stp/>
        <stp>ChartPast</stp>
        <stp>2386437116064,358,358,4,4</stp>
        <stp>9069</stp>
        <stp>D</stp>
        <stp>20160401</stp>
        <stp>3000</stp>
        <tr r="E359" s="3"/>
      </tp>
    </main>
    <main first="rtdsrv.9a0e439d503c4134b124aa8a925fc5f1">
      <tp t="s">
        <v/>
        <stp/>
        <stp>ChartPast</stp>
        <stp>2386437116064,288,288,4,4</stp>
        <stp>7994</stp>
        <stp>D</stp>
        <stp>20160401</stp>
        <stp>3000</stp>
        <tr r="E289" s="3"/>
      </tp>
      <tp t="s">
        <v/>
        <stp/>
        <stp>ChartPast</stp>
        <stp>2386437116064,173,173,4,4</stp>
        <stp>5991</stp>
        <stp>D</stp>
        <stp>20160401</stp>
        <stp>3000</stp>
        <tr r="E174" s="3"/>
      </tp>
    </main>
    <main first="rtdsrv.9a0e439d503c4134b124aa8a925fc5f1">
      <tp t="s">
        <v/>
        <stp/>
        <stp>ChartPast</stp>
        <stp>2386437116064,397,397,4,4</stp>
        <stp>9984</stp>
        <stp>D</stp>
        <stp>20160401</stp>
        <stp>3000</stp>
        <tr r="E398" s="3"/>
      </tp>
      <tp t="s">
        <v/>
        <stp/>
        <stp>ChartPast</stp>
        <stp>2386437116064,143,143,4,4</stp>
        <stp>4980</stp>
        <stp>D</stp>
        <stp>20160401</stp>
        <stp>3000</stp>
        <tr r="E144" s="3"/>
      </tp>
      <tp t="s">
        <v/>
        <stp/>
        <stp>ChartPast</stp>
        <stp>2386437116064,234,234,4,4</stp>
        <stp>6981</stp>
        <stp>D</stp>
        <stp>20160401</stp>
        <stp>3000</stp>
        <tr r="E235" s="3"/>
      </tp>
    </main>
    <main first="rtdsrv.9a0e439d503c4134b124aa8a925fc5f1">
      <tp t="s">
        <v/>
        <stp/>
        <stp>ChartPast</stp>
        <stp>2386437116064,396,396,4,4</stp>
        <stp>9983</stp>
        <stp>D</stp>
        <stp>20160401</stp>
        <stp>3000</stp>
        <tr r="E397" s="3"/>
      </tp>
      <tp t="s">
        <v/>
        <stp/>
        <stp>ChartPast</stp>
        <stp>2386437116064,235,235,4,4</stp>
        <stp>6988</stp>
        <stp>D</stp>
        <stp>20160401</stp>
        <stp>3000</stp>
        <tr r="E236" s="3"/>
      </tp>
      <tp t="s">
        <v/>
        <stp/>
        <stp>ChartPast</stp>
        <stp>2386437116064,287,287,4,4</stp>
        <stp>7988</stp>
        <stp>D</stp>
        <stp>20160401</stp>
        <stp>3000</stp>
        <tr r="E288" s="3"/>
      </tp>
      <tp t="s">
        <v/>
        <stp/>
        <stp>ChartPast</stp>
        <stp>2386437116064,398,398,4,4</stp>
        <stp>9989</stp>
        <stp>D</stp>
        <stp>20160401</stp>
        <stp>3000</stp>
        <tr r="E399" s="3"/>
      </tp>
    </main>
    <main first="rtdsrv.9a0e439d503c4134b124aa8a925fc5f1">
      <tp t="s">
        <v/>
        <stp/>
        <stp>ChartPast</stp>
        <stp>2386437116064,141,141,4,4</stp>
        <stp>4912</stp>
        <stp>D</stp>
        <stp>20160401</stp>
        <stp>3000</stp>
        <tr r="E142" s="3"/>
      </tp>
      <tp t="s">
        <v/>
        <stp/>
        <stp>ChartPast</stp>
        <stp>2386437116064,282,282,4,4</stp>
        <stp>7912</stp>
        <stp>D</stp>
        <stp>20160401</stp>
        <stp>3000</stp>
        <tr r="E283" s="3"/>
      </tp>
    </main>
    <main first="rtdsrv.9a0e439d503c4134b124aa8a925fc5f1">
      <tp t="s">
        <v/>
        <stp/>
        <stp>ChartPast</stp>
        <stp>2386437116064,345,345,4,4</stp>
        <stp>8919</stp>
        <stp>D</stp>
        <stp>20160401</stp>
        <stp>3000</stp>
        <tr r="E346" s="3"/>
      </tp>
    </main>
    <main first="rtdsrv.9a0e439d503c4134b124aa8a925fc5f1">
      <tp t="s">
        <v/>
        <stp/>
        <stp>ChartPast</stp>
        <stp>2386437116064,281,281,4,4</stp>
        <stp>7906</stp>
        <stp>D</stp>
        <stp>20160401</stp>
        <stp>3000</stp>
        <tr r="E282" s="3"/>
      </tp>
      <tp t="s">
        <v/>
        <stp/>
        <stp>ChartPast</stp>
        <stp>2386437116064,140,140,4,4</stp>
        <stp>4901</stp>
        <stp>D</stp>
        <stp>20160401</stp>
        <stp>3000</stp>
        <tr r="E141" s="3"/>
      </tp>
      <tp t="s">
        <v/>
        <stp/>
        <stp>ChartPast</stp>
        <stp>2386437116064,228,228,4,4</stp>
        <stp>6902</stp>
        <stp>D</stp>
        <stp>20160401</stp>
        <stp>3000</stp>
        <tr r="E229" s="3"/>
      </tp>
    </main>
    <main first="rtdsrv.9a0e439d503c4134b124aa8a925fc5f1">
      <tp t="s">
        <v/>
        <stp/>
        <stp>ChartPast</stp>
        <stp>2386437116064,283,283,4,4</stp>
        <stp>7936</stp>
        <stp>D</stp>
        <stp>20160401</stp>
        <stp>3000</stp>
        <tr r="E284" s="3"/>
      </tp>
    </main>
    <main first="rtdsrv.9a0e439d503c4134b124aa8a925fc5f1">
      <tp t="s">
        <v/>
        <stp/>
        <stp>ChartPast</stp>
        <stp>2386437116064,229,229,4,4</stp>
        <stp>6920</stp>
        <stp>D</stp>
        <stp>20160401</stp>
        <stp>3000</stp>
        <tr r="E230" s="3"/>
      </tp>
      <tp t="s">
        <v/>
        <stp/>
        <stp>ChartPast</stp>
        <stp>2386437116064,346,346,4,4</stp>
        <stp>8923</stp>
        <stp>D</stp>
        <stp>20160401</stp>
        <stp>3000</stp>
        <tr r="E347" s="3"/>
      </tp>
    </main>
    <main first="rtdsrv.9a0e439d503c4134b124aa8a925fc5f1">
      <tp t="s">
        <v/>
        <stp/>
        <stp>ChartPast</stp>
        <stp>2386437116064,171,171,4,4</stp>
        <stp>5929</stp>
        <stp>D</stp>
        <stp>20160401</stp>
        <stp>3000</stp>
        <tr r="E172" s="3"/>
      </tp>
    </main>
    <main first="rtdsrv.9a0e439d503c4134b124aa8a925fc5f1">
      <tp t="s">
        <v/>
        <stp/>
        <stp>ChartPast</stp>
        <stp>2386437116064,231,231,4,4</stp>
        <stp>6954</stp>
        <stp>D</stp>
        <stp>20160401</stp>
        <stp>3000</stp>
        <tr r="E232" s="3"/>
      </tp>
      <tp t="s">
        <v/>
        <stp/>
        <stp>ChartPast</stp>
        <stp>2386437116064,230,230,4,4</stp>
        <stp>6951</stp>
        <stp>D</stp>
        <stp>20160401</stp>
        <stp>3000</stp>
        <tr r="E231" s="3"/>
      </tp>
      <tp t="s">
        <v/>
        <stp/>
        <stp>ChartPast</stp>
        <stp>2386437116064,285,285,4,4</stp>
        <stp>7951</stp>
        <stp>D</stp>
        <stp>20160401</stp>
        <stp>3000</stp>
        <tr r="E286" s="3"/>
      </tp>
    </main>
    <main first="rtdsrv.9a0e439d503c4134b124aa8a925fc5f1">
      <tp t="s">
        <v/>
        <stp/>
        <stp>ChartPast</stp>
        <stp>2386437116064,284,284,4,4</stp>
        <stp>7944</stp>
        <stp>D</stp>
        <stp>20160401</stp>
        <stp>3000</stp>
        <tr r="E285" s="3"/>
      </tp>
      <tp t="s">
        <v/>
        <stp/>
        <stp>ChartPast</stp>
        <stp>2386437116064,172,172,4,4</stp>
        <stp>5947</stp>
        <stp>D</stp>
        <stp>20160401</stp>
        <stp>3000</stp>
        <tr r="E173" s="3"/>
      </tp>
    </main>
    <main first="rtdsrv.9a0e439d503c4134b124aa8a925fc5f1">
      <tp t="s">
        <v/>
        <stp/>
        <stp>ChartPast</stp>
        <stp>2386437116064,286,286,4,4</stp>
        <stp>7974</stp>
        <stp>D</stp>
        <stp>20160401</stp>
        <stp>3000</stp>
        <tr r="E287" s="3"/>
      </tp>
    </main>
    <main first="rtdsrv.9a0e439d503c4134b124aa8a925fc5f1">
      <tp t="s">
        <v/>
        <stp/>
        <stp>ChartPast</stp>
        <stp>2386437116064,232,232,4,4</stp>
        <stp>6965</stp>
        <stp>D</stp>
        <stp>20160401</stp>
        <stp>3000</stp>
        <tr r="E233" s="3"/>
      </tp>
      <tp t="s">
        <v/>
        <stp/>
        <stp>ChartPast</stp>
        <stp>2386437116064,233,233,4,4</stp>
        <stp>6966</stp>
        <stp>D</stp>
        <stp>20160401</stp>
        <stp>3000</stp>
        <tr r="E234" s="3"/>
      </tp>
      <tp t="s">
        <v/>
        <stp/>
        <stp>ChartPast</stp>
        <stp>2386437116064,142,142,4,4</stp>
        <stp>4967</stp>
        <stp>D</stp>
        <stp>20160401</stp>
        <stp>3000</stp>
        <tr r="E143" s="3"/>
      </tp>
    </main>
    <main first="rtdsrv.9a0e439d503c4134b124aa8a925fc5f1">
      <tp t="s">
        <v/>
        <stp/>
        <stp>ChartPast</stp>
        <stp>2386437116064,395,395,4,4</stp>
        <stp>9962</stp>
        <stp>D</stp>
        <stp>20160401</stp>
        <stp>3000</stp>
        <tr r="E396" s="3"/>
      </tp>
    </main>
    <main first="rtdsrv.9a0e439d503c4134b124aa8a925fc5f1">
      <tp t="s">
        <v/>
        <stp/>
        <stp>ChartPast</stp>
        <stp>2386437116064,139,139,4,4</stp>
        <stp>4816</stp>
        <stp>D</stp>
        <stp>20160401</stp>
        <stp>3000</stp>
        <tr r="E140" s="3"/>
      </tp>
      <tp t="s">
        <v/>
        <stp/>
        <stp>ChartPast</stp>
        <stp>2386437116064,138,138,4,4</stp>
        <stp>4812</stp>
        <stp>D</stp>
        <stp>20160401</stp>
        <stp>3000</stp>
        <tr r="E139" s="3"/>
      </tp>
    </main>
    <main first="rtdsrv.9a0e439d503c4134b124aa8a925fc5f1">
      <tp t="s">
        <v/>
        <stp/>
        <stp>ChartPast</stp>
        <stp>2386437116064,340,340,4,4</stp>
        <stp>8804</stp>
        <stp>D</stp>
        <stp>20160401</stp>
        <stp>3000</stp>
        <tr r="E341" s="3"/>
      </tp>
      <tp t="s">
        <v/>
        <stp/>
        <stp>ChartPast</stp>
        <stp>2386437116064,169,169,4,4</stp>
        <stp>5805</stp>
        <stp>D</stp>
        <stp>20160401</stp>
        <stp>3000</stp>
        <tr r="E170" s="3"/>
      </tp>
      <tp t="s">
        <v/>
        <stp/>
        <stp>ChartPast</stp>
        <stp>2386437116064,220,220,4,4</stp>
        <stp>6806</stp>
        <stp>D</stp>
        <stp>20160401</stp>
        <stp>3000</stp>
        <tr r="E221" s="3"/>
      </tp>
      <tp t="s">
        <v/>
        <stp/>
        <stp>ChartPast</stp>
        <stp>2386437116064,338,338,4,4</stp>
        <stp>8801</stp>
        <stp>D</stp>
        <stp>20160401</stp>
        <stp>3000</stp>
        <tr r="E339" s="3"/>
      </tp>
      <tp t="s">
        <v/>
        <stp/>
        <stp>ChartPast</stp>
        <stp>2386437116064,339,339,4,4</stp>
        <stp>8802</stp>
        <stp>D</stp>
        <stp>20160401</stp>
        <stp>3000</stp>
        <tr r="E340" s="3"/>
      </tp>
      <tp t="s">
        <v/>
        <stp/>
        <stp>ChartPast</stp>
        <stp>2386437116064,167,167,4,4</stp>
        <stp>5802</stp>
        <stp>D</stp>
        <stp>20160401</stp>
        <stp>3000</stp>
        <tr r="E168" s="3"/>
      </tp>
    </main>
    <main first="rtdsrv.9a0e439d503c4134b124aa8a925fc5f1">
      <tp t="s">
        <v/>
        <stp/>
        <stp>ChartPast</stp>
        <stp>2386437116064,168,168,4,4</stp>
        <stp>5803</stp>
        <stp>D</stp>
        <stp>20160401</stp>
        <stp>3000</stp>
        <tr r="E169" s="3"/>
      </tp>
    </main>
    <main first="rtdsrv.9a0e439d503c4134b124aa8a925fc5f1">
      <tp t="s">
        <v/>
        <stp/>
        <stp>ChartPast</stp>
        <stp>2386437116064,341,341,4,4</stp>
        <stp>8830</stp>
        <stp>D</stp>
        <stp>20160401</stp>
        <stp>3000</stp>
        <tr r="E342" s="3"/>
      </tp>
      <tp t="s">
        <v/>
        <stp/>
        <stp>ChartPast</stp>
        <stp>2386437116064,278,278,4,4</stp>
        <stp>7832</stp>
        <stp>D</stp>
        <stp>20160401</stp>
        <stp>3000</stp>
        <tr r="E279" s="3"/>
      </tp>
    </main>
    <main first="rtdsrv.9a0e439d503c4134b124aa8a925fc5f1">
      <tp t="s">
        <v/>
        <stp/>
        <stp>ChartPast</stp>
        <stp>2386437116064,224,224,4,4</stp>
        <stp>6856</stp>
        <stp>D</stp>
        <stp>20160401</stp>
        <stp>3000</stp>
        <tr r="E225" s="3"/>
      </tp>
      <tp t="s">
        <v/>
        <stp/>
        <stp>ChartPast</stp>
        <stp>2386437116064,170,170,4,4</stp>
        <stp>5857</stp>
        <stp>D</stp>
        <stp>20160401</stp>
        <stp>3000</stp>
        <tr r="E171" s="3"/>
      </tp>
      <tp t="s">
        <v/>
        <stp/>
        <stp>ChartPast</stp>
        <stp>2386437116064,225,225,4,4</stp>
        <stp>6857</stp>
        <stp>D</stp>
        <stp>20160401</stp>
        <stp>3000</stp>
        <tr r="E226" s="3"/>
      </tp>
      <tp t="s">
        <v/>
        <stp/>
        <stp>ChartPast</stp>
        <stp>2386437116064,343,343,4,4</stp>
        <stp>8850</stp>
        <stp>D</stp>
        <stp>20160401</stp>
        <stp>3000</stp>
        <tr r="E344" s="3"/>
      </tp>
    </main>
    <main first="rtdsrv.9a0e439d503c4134b124aa8a925fc5f1">
      <tp t="s">
        <v/>
        <stp/>
        <stp>ChartPast</stp>
        <stp>2386437116064,222,222,4,4</stp>
        <stp>6845</stp>
        <stp>D</stp>
        <stp>20160401</stp>
        <stp>3000</stp>
        <tr r="E223" s="3"/>
      </tp>
      <tp t="s">
        <v/>
        <stp/>
        <stp>ChartPast</stp>
        <stp>2386437116064,279,279,4,4</stp>
        <stp>7846</stp>
        <stp>D</stp>
        <stp>20160401</stp>
        <stp>3000</stp>
        <tr r="E280" s="3"/>
      </tp>
      <tp t="s">
        <v/>
        <stp/>
        <stp>ChartPast</stp>
        <stp>2386437116064,221,221,4,4</stp>
        <stp>6841</stp>
        <stp>D</stp>
        <stp>20160401</stp>
        <stp>3000</stp>
        <tr r="E222" s="3"/>
      </tp>
    </main>
    <main first="rtdsrv.9a0e439d503c4134b124aa8a925fc5f1">
      <tp t="s">
        <v/>
        <stp/>
        <stp>ChartPast</stp>
        <stp>2386437116064,394,394,4,4</stp>
        <stp>9843</stp>
        <stp>D</stp>
        <stp>20160401</stp>
        <stp>3000</stp>
        <tr r="E395" s="3"/>
      </tp>
    </main>
    <main first="rtdsrv.9a0e439d503c4134b124aa8a925fc5f1">
      <tp t="s">
        <v/>
        <stp/>
        <stp>ChartPast</stp>
        <stp>2386437116064,342,342,4,4</stp>
        <stp>8848</stp>
        <stp>D</stp>
        <stp>20160401</stp>
        <stp>3000</stp>
        <tr r="E343" s="3"/>
      </tp>
    </main>
    <main first="rtdsrv.9a0e439d503c4134b124aa8a925fc5f1">
      <tp t="s">
        <v/>
        <stp/>
        <stp>ChartPast</stp>
        <stp>2386437116064,223,223,4,4</stp>
        <stp>6849</stp>
        <stp>D</stp>
        <stp>20160401</stp>
        <stp>3000</stp>
        <tr r="E224" s="3"/>
      </tp>
      <tp t="s">
        <v/>
        <stp/>
        <stp>ChartPast</stp>
        <stp>2386437116064,344,344,4,4</stp>
        <stp>8876</stp>
        <stp>D</stp>
        <stp>20160401</stp>
        <stp>3000</stp>
        <tr r="E345" s="3"/>
      </tp>
    </main>
    <main first="rtdsrv.9a0e439d503c4134b124aa8a925fc5f1">
      <tp t="s">
        <v/>
        <stp/>
        <stp>ChartPast</stp>
        <stp>2386437116064,280,280,4,4</stp>
        <stp>7867</stp>
        <stp>D</stp>
        <stp>20160401</stp>
        <stp>3000</stp>
        <tr r="E281" s="3"/>
      </tp>
      <tp t="s">
        <v/>
        <stp/>
        <stp>ChartPast</stp>
        <stp>2386437116064,226,226,4,4</stp>
        <stp>6861</stp>
        <stp>D</stp>
        <stp>20160401</stp>
        <stp>3000</stp>
        <tr r="E227" s="3"/>
      </tp>
    </main>
    <main first="rtdsrv.9a0e439d503c4134b124aa8a925fc5f1">
      <tp t="s">
        <v/>
        <stp/>
        <stp>ChartPast</stp>
        <stp>2386437116064,227,227,4,4</stp>
        <stp>6869</stp>
        <stp>D</stp>
        <stp>20160401</stp>
        <stp>3000</stp>
        <tr r="E228" s="3"/>
      </tp>
    </main>
    <main first="rtdsrv.9a0e439d503c4134b124aa8a925fc5f1">
      <tp t="s">
        <v>カチタス</v>
        <stp/>
        <stp>Market</stp>
        <stp>STOCK</stp>
        <stp>89190.T</stp>
        <stp>銘柄名称</stp>
        <tr r="B346" s="3"/>
      </tp>
      <tp t="s">
        <v>日本たばこ産業</v>
        <stp/>
        <stp>Market</stp>
        <stp>STOCK</stp>
        <stp>29140.T</stp>
        <stp>銘柄名称</stp>
        <tr r="B57" s="3"/>
      </tp>
      <tp t="s">
        <v>大日本印刷</v>
        <stp/>
        <stp>Market</stp>
        <stp>STOCK</stp>
        <stp>79120.T</stp>
        <stp>銘柄名称</stp>
        <tr r="B283" s="3"/>
      </tp>
      <tp t="s">
        <v>ライオン</v>
        <stp/>
        <stp>Market</stp>
        <stp>STOCK</stp>
        <stp>49120.T</stp>
        <stp>銘柄名称</stp>
        <tr r="B142" s="3"/>
      </tp>
      <tp t="s">
        <v>住友林業</v>
        <stp/>
        <stp>Market</stp>
        <stp>STOCK</stp>
        <stp>19110.T</stp>
        <stp>銘柄名称</stp>
        <tr r="B15" s="3"/>
      </tp>
      <tp t="s">
        <v>ヨネックス</v>
        <stp/>
        <stp>Market</stp>
        <stp>STOCK</stp>
        <stp>79060.T</stp>
        <stp>銘柄名称</stp>
        <tr r="B282" s="3"/>
      </tp>
      <tp t="s">
        <v>デンソー</v>
        <stp/>
        <stp>Market</stp>
        <stp>STOCK</stp>
        <stp>69020.T</stp>
        <stp>銘柄名称</stp>
        <tr r="B229" s="3"/>
      </tp>
      <tp t="s">
        <v>富士フイルムＨＬＤＧＳ</v>
        <stp/>
        <stp>Market</stp>
        <stp>STOCK</stp>
        <stp>49010.T</stp>
        <stp>銘柄名称</stp>
        <tr r="B141" s="3"/>
      </tp>
      <tp t="s">
        <v>アシックス</v>
        <stp/>
        <stp>Market</stp>
        <stp>STOCK</stp>
        <stp>79360.T</stp>
        <stp>銘柄名称</stp>
        <tr r="B284" s="3"/>
      </tp>
      <tp t="s">
        <v>三和ホールディングス</v>
        <stp/>
        <stp>Market</stp>
        <stp>STOCK</stp>
        <stp>59290.T</stp>
        <stp>銘柄名称</stp>
        <tr r="B172" s="3"/>
      </tp>
      <tp t="s">
        <v>積水ハウス</v>
        <stp/>
        <stp>Market</stp>
        <stp>STOCK</stp>
        <stp>19280.T</stp>
        <stp>銘柄名称</stp>
        <tr r="B17" s="3"/>
      </tp>
      <tp t="s">
        <v>大和ハウス</v>
        <stp/>
        <stp>Market</stp>
        <stp>STOCK</stp>
        <stp>19250.T</stp>
        <stp>銘柄名称</stp>
        <tr r="B16" s="3"/>
      </tp>
      <tp t="s">
        <v>トーセイ</v>
        <stp/>
        <stp>Market</stp>
        <stp>STOCK</stp>
        <stp>89230.T</stp>
        <stp>銘柄名称</stp>
        <tr r="B347" s="3"/>
      </tp>
      <tp t="s">
        <v>ラクス</v>
        <stp/>
        <stp>Market</stp>
        <stp>STOCK</stp>
        <stp>39230.T</stp>
        <stp>銘柄名称</stp>
        <tr r="B91" s="3"/>
      </tp>
      <tp t="s">
        <v>レーザーテック</v>
        <stp/>
        <stp>Market</stp>
        <stp>STOCK</stp>
        <stp>69200.T</stp>
        <stp>銘柄名称</stp>
        <tr r="B230" s="3"/>
      </tp>
    </main>
    <main first="rtdsrv.9a0e439d503c4134b124aa8a925fc5f1">
      <tp t="s">
        <v>クラフティア</v>
        <stp/>
        <stp>Market</stp>
        <stp>STOCK</stp>
        <stp>19590.T</stp>
        <stp>銘柄名称</stp>
        <tr r="B20" s="3"/>
      </tp>
      <tp t="s">
        <v>ファナック</v>
        <stp/>
        <stp>Market</stp>
        <stp>STOCK</stp>
        <stp>69540.T</stp>
        <stp>銘柄名称</stp>
        <tr r="B232" s="3"/>
      </tp>
      <tp t="s">
        <v>エクシオグループ</v>
        <stp/>
        <stp>Market</stp>
        <stp>STOCK</stp>
        <stp>19510.T</stp>
        <stp>銘柄名称</stp>
        <tr r="B19" s="3"/>
      </tp>
      <tp t="s">
        <v>ヤマハ</v>
        <stp/>
        <stp>Market</stp>
        <stp>STOCK</stp>
        <stp>79510.T</stp>
        <stp>銘柄名称</stp>
        <tr r="B286" s="3"/>
      </tp>
      <tp t="s">
        <v>日本電子</v>
        <stp/>
        <stp>Market</stp>
        <stp>STOCK</stp>
        <stp>69510.T</stp>
        <stp>銘柄名称</stp>
        <tr r="B231" s="3"/>
      </tp>
      <tp t="s">
        <v>リンナイ</v>
        <stp/>
        <stp>Market</stp>
        <stp>STOCK</stp>
        <stp>59470.T</stp>
        <stp>銘柄名称</stp>
        <tr r="B173" s="3"/>
      </tp>
      <tp t="s">
        <v>ローランド</v>
        <stp/>
        <stp>Market</stp>
        <stp>STOCK</stp>
        <stp>79440.T</stp>
        <stp>銘柄名称</stp>
        <tr r="B285" s="3"/>
      </tp>
      <tp t="s">
        <v>関電工</v>
        <stp/>
        <stp>Market</stp>
        <stp>STOCK</stp>
        <stp>19420.T</stp>
        <stp>銘柄名称</stp>
        <tr r="B18" s="3"/>
      </tp>
      <tp t="s">
        <v>任天堂</v>
        <stp/>
        <stp>Market</stp>
        <stp>STOCK</stp>
        <stp>79740.T</stp>
        <stp>銘柄名称</stp>
        <tr r="B287" s="3"/>
      </tp>
      <tp t="s">
        <v>高砂熱学</v>
        <stp/>
        <stp>Market</stp>
        <stp>STOCK</stp>
        <stp>19690.T</stp>
        <stp>銘柄名称</stp>
        <tr r="B21" s="3"/>
      </tp>
      <tp t="s">
        <v>小林製薬</v>
        <stp/>
        <stp>Market</stp>
        <stp>STOCK</stp>
        <stp>49670.T</stp>
        <stp>銘柄名称</stp>
        <tr r="B143" s="3"/>
      </tp>
      <tp t="s">
        <v>三井ハイテック</v>
        <stp/>
        <stp>Market</stp>
        <stp>STOCK</stp>
        <stp>69660.T</stp>
        <stp>銘柄名称</stp>
        <tr r="B234" s="3"/>
      </tp>
      <tp t="s">
        <v>浜松ホトニクス</v>
        <stp/>
        <stp>Market</stp>
        <stp>STOCK</stp>
        <stp>69650.T</stp>
        <stp>銘柄名称</stp>
        <tr r="B233" s="3"/>
      </tp>
      <tp t="s">
        <v>ミスミグループ本社</v>
        <stp/>
        <stp>Market</stp>
        <stp>STOCK</stp>
        <stp>99620.T</stp>
        <stp>銘柄名称</stp>
        <tr r="B396" s="3"/>
      </tp>
    </main>
    <main first="rtdsrv.9a0e439d503c4134b124aa8a925fc5f1">
      <tp t="s">
        <v>オカムラ</v>
        <stp/>
        <stp>Market</stp>
        <stp>STOCK</stp>
        <stp>79940.T</stp>
        <stp>銘柄名称</stp>
        <tr r="B289" s="3"/>
      </tp>
      <tp t="s">
        <v>日本発条</v>
        <stp/>
        <stp>Market</stp>
        <stp>STOCK</stp>
        <stp>59910.T</stp>
        <stp>銘柄名称</stp>
        <tr r="B174" s="3"/>
      </tp>
    </main>
    <main first="rtdsrv.9a0e439d503c4134b124aa8a925fc5f1">
      <tp t="s">
        <v>サンドラッグ</v>
        <stp/>
        <stp>Market</stp>
        <stp>STOCK</stp>
        <stp>99890.T</stp>
        <stp>銘柄名称</stp>
        <tr r="B399" s="3"/>
      </tp>
      <tp t="s">
        <v>ニフコ</v>
        <stp/>
        <stp>Market</stp>
        <stp>STOCK</stp>
        <stp>79880.T</stp>
        <stp>銘柄名称</stp>
        <tr r="B288" s="3"/>
      </tp>
      <tp t="s">
        <v>日東電工</v>
        <stp/>
        <stp>Market</stp>
        <stp>STOCK</stp>
        <stp>69880.T</stp>
        <stp>銘柄名称</stp>
        <tr r="B236" s="3"/>
      </tp>
    </main>
    <main first="rtdsrv.9a0e439d503c4134b124aa8a925fc5f1">
      <tp t="s">
        <v>ソフトバンクグループ</v>
        <stp/>
        <stp>Market</stp>
        <stp>STOCK</stp>
        <stp>99840.T</stp>
        <stp>銘柄名称</stp>
        <tr r="B398" s="3"/>
      </tp>
      <tp t="s">
        <v>ファーストリテイリング</v>
        <stp/>
        <stp>Market</stp>
        <stp>STOCK</stp>
        <stp>99830.T</stp>
        <stp>銘柄名称</stp>
        <tr r="B397" s="3"/>
      </tp>
      <tp t="s">
        <v>村田製作所</v>
        <stp/>
        <stp>Market</stp>
        <stp>STOCK</stp>
        <stp>69810.T</stp>
        <stp>銘柄名称</stp>
        <tr r="B235" s="3"/>
      </tp>
      <tp t="s">
        <v>デクセリアルズ</v>
        <stp/>
        <stp>Market</stp>
        <stp>STOCK</stp>
        <stp>49800.T</stp>
        <stp>銘柄名称</stp>
        <tr r="B144" s="3"/>
      </tp>
    </main>
    <main first="rtdsrv.9a0e439d503c4134b124aa8a925fc5f1">
      <tp t="s">
        <v>東映アニメーション</v>
        <stp/>
        <stp>Market</stp>
        <stp>STOCK</stp>
        <stp>48160.T</stp>
        <stp>銘柄名称</stp>
        <tr r="B140" s="3"/>
      </tp>
      <tp t="s">
        <v>鹿島建設</v>
        <stp/>
        <stp>Market</stp>
        <stp>STOCK</stp>
        <stp>18120.T</stp>
        <stp>銘柄名称</stp>
        <tr r="B13" s="3"/>
      </tp>
      <tp t="s">
        <v>電通総研</v>
        <stp/>
        <stp>Market</stp>
        <stp>STOCK</stp>
        <stp>48120.T</stp>
        <stp>銘柄名称</stp>
        <tr r="B139" s="3"/>
      </tp>
      <tp t="s">
        <v>カゴメ</v>
        <stp/>
        <stp>Market</stp>
        <stp>STOCK</stp>
        <stp>28110.T</stp>
        <stp>銘柄名称</stp>
        <tr r="B53" s="3"/>
      </tp>
      <tp t="s">
        <v>長谷工コーポレーシヨン</v>
        <stp/>
        <stp>Market</stp>
        <stp>STOCK</stp>
        <stp>18080.T</stp>
        <stp>銘柄名称</stp>
        <tr r="B12" s="3"/>
      </tp>
      <tp t="s">
        <v>ヒロセ電機</v>
        <stp/>
        <stp>Market</stp>
        <stp>STOCK</stp>
        <stp>68060.T</stp>
        <stp>銘柄名称</stp>
        <tr r="B221" s="3"/>
      </tp>
      <tp t="s">
        <v>ＳＷＣＣ</v>
        <stp/>
        <stp>Market</stp>
        <stp>STOCK</stp>
        <stp>58050.T</stp>
        <stp>銘柄名称</stp>
        <tr r="B170" s="3"/>
      </tp>
      <tp t="s">
        <v>東京建物</v>
        <stp/>
        <stp>Market</stp>
        <stp>STOCK</stp>
        <stp>88040.T</stp>
        <stp>銘柄名称</stp>
        <tr r="B341" s="3"/>
      </tp>
      <tp t="s">
        <v>フジクラ</v>
        <stp/>
        <stp>Market</stp>
        <stp>STOCK</stp>
        <stp>58030.T</stp>
        <stp>銘柄名称</stp>
        <tr r="B169" s="3"/>
      </tp>
      <tp t="s">
        <v>三菱地所</v>
        <stp/>
        <stp>Market</stp>
        <stp>STOCK</stp>
        <stp>88020.T</stp>
        <stp>銘柄名称</stp>
        <tr r="B340" s="3"/>
      </tp>
      <tp t="s">
        <v>味の素</v>
        <stp/>
        <stp>Market</stp>
        <stp>STOCK</stp>
        <stp>28020.T</stp>
        <stp>銘柄名称</stp>
        <tr r="B52" s="3"/>
      </tp>
      <tp t="s">
        <v>大林組</v>
        <stp/>
        <stp>Market</stp>
        <stp>STOCK</stp>
        <stp>18020.T</stp>
        <stp>銘柄名称</stp>
        <tr r="B11" s="3"/>
      </tp>
      <tp t="s">
        <v>住友電工</v>
        <stp/>
        <stp>Market</stp>
        <stp>STOCK</stp>
        <stp>58020.T</stp>
        <stp>銘柄名称</stp>
        <tr r="B168" s="3"/>
      </tp>
      <tp t="s">
        <v>三井不動産</v>
        <stp/>
        <stp>Market</stp>
        <stp>STOCK</stp>
        <stp>88010.T</stp>
        <stp>銘柄名称</stp>
        <tr r="B339" s="3"/>
      </tp>
      <tp t="s">
        <v>キッコーマン</v>
        <stp/>
        <stp>Market</stp>
        <stp>STOCK</stp>
        <stp>28010.T</stp>
        <stp>銘柄名称</stp>
        <tr r="B51" s="3"/>
      </tp>
      <tp t="s">
        <v>大成建設</v>
        <stp/>
        <stp>Market</stp>
        <stp>STOCK</stp>
        <stp>18010.T</stp>
        <stp>銘柄名称</stp>
        <tr r="B10" s="3"/>
      </tp>
      <tp t="s">
        <v>バンダイナムコＨＬＤＧＳ</v>
        <stp/>
        <stp>Market</stp>
        <stp>STOCK</stp>
        <stp>78320.T</stp>
        <stp>銘柄名称</stp>
        <tr r="B279" s="3"/>
      </tp>
      <tp t="s">
        <v>住友不動産</v>
        <stp/>
        <stp>Market</stp>
        <stp>STOCK</stp>
        <stp>88300.T</stp>
        <stp>銘柄名称</stp>
        <tr r="B342" s="3"/>
      </tp>
    </main>
    <main first="rtdsrv.9a0e439d503c4134b124aa8a925fc5f1">
      <tp t="s">
        <v>アドバンテスト</v>
        <stp/>
        <stp>Market</stp>
        <stp>STOCK</stp>
        <stp>68570.T</stp>
        <stp>銘柄名称</stp>
        <tr r="B226" s="3"/>
      </tp>
      <tp t="s">
        <v>ＡＲＥホールディングス</v>
        <stp/>
        <stp>Market</stp>
        <stp>STOCK</stp>
        <stp>58570.T</stp>
        <stp>銘柄名称</stp>
        <tr r="B171" s="3"/>
      </tp>
      <tp t="s">
        <v>堀場製作所</v>
        <stp/>
        <stp>Market</stp>
        <stp>STOCK</stp>
        <stp>68560.T</stp>
        <stp>銘柄名称</stp>
        <tr r="B225" s="3"/>
      </tp>
      <tp t="s">
        <v>スターツコーポレーション</v>
        <stp/>
        <stp>Market</stp>
        <stp>STOCK</stp>
        <stp>88500.T</stp>
        <stp>銘柄名称</stp>
        <tr r="B344" s="3"/>
      </tp>
    </main>
    <main first="rtdsrv.9a0e439d503c4134b124aa8a925fc5f1">
      <tp t="s">
        <v>日本光電工業</v>
        <stp/>
        <stp>Market</stp>
        <stp>STOCK</stp>
        <stp>68490.T</stp>
        <stp>銘柄名称</stp>
        <tr r="B224" s="3"/>
      </tp>
      <tp t="s">
        <v>レオパレス２１</v>
        <stp/>
        <stp>Market</stp>
        <stp>STOCK</stp>
        <stp>88480.T</stp>
        <stp>銘柄名称</stp>
        <tr r="B343" s="3"/>
      </tp>
    </main>
    <main first="rtdsrv.9a0e439d503c4134b124aa8a925fc5f1">
      <tp t="s">
        <v>パイロットコーポレーション</v>
        <stp/>
        <stp>Market</stp>
        <stp>STOCK</stp>
        <stp>78460.T</stp>
        <stp>銘柄名称</stp>
        <tr r="B280" s="3"/>
      </tp>
      <tp t="s">
        <v>アズビル</v>
        <stp/>
        <stp>Market</stp>
        <stp>STOCK</stp>
        <stp>68450.T</stp>
        <stp>銘柄名称</stp>
        <tr r="B223" s="3"/>
      </tp>
      <tp t="s">
        <v>ニトリホールディングス</v>
        <stp/>
        <stp>Market</stp>
        <stp>STOCK</stp>
        <stp>98430.T</stp>
        <stp>銘柄名称</stp>
        <tr r="B395" s="3"/>
      </tp>
      <tp t="s">
        <v>横河電機</v>
        <stp/>
        <stp>Market</stp>
        <stp>STOCK</stp>
        <stp>68410.T</stp>
        <stp>銘柄名称</stp>
        <tr r="B222" s="3"/>
      </tp>
      <tp t="s">
        <v>大東建託</v>
        <stp/>
        <stp>Market</stp>
        <stp>STOCK</stp>
        <stp>18780.T</stp>
        <stp>銘柄名称</stp>
        <tr r="B14" s="3"/>
      </tp>
      <tp t="s">
        <v>リログループ</v>
        <stp/>
        <stp>Market</stp>
        <stp>STOCK</stp>
        <stp>88760.T</stp>
        <stp>銘柄名称</stp>
        <tr r="B345" s="3"/>
      </tp>
      <tp t="s">
        <v>東洋水産</v>
        <stp/>
        <stp>Market</stp>
        <stp>STOCK</stp>
        <stp>28750.T</stp>
        <stp>銘柄名称</stp>
        <tr r="B55" s="3"/>
      </tp>
      <tp t="s">
        <v>ニチレイ</v>
        <stp/>
        <stp>Market</stp>
        <stp>STOCK</stp>
        <stp>28710.T</stp>
        <stp>銘柄名称</stp>
        <tr r="B54" s="3"/>
      </tp>
      <tp t="s">
        <v>シスメックス</v>
        <stp/>
        <stp>Market</stp>
        <stp>STOCK</stp>
        <stp>68690.T</stp>
        <stp>銘柄名称</stp>
        <tr r="B228" s="3"/>
      </tp>
      <tp t="s">
        <v>タカラトミー</v>
        <stp/>
        <stp>Market</stp>
        <stp>STOCK</stp>
        <stp>78670.T</stp>
        <stp>銘柄名称</stp>
        <tr r="B281" s="3"/>
      </tp>
      <tp t="s">
        <v>王子ホールディングス</v>
        <stp/>
        <stp>Market</stp>
        <stp>STOCK</stp>
        <stp>38610.T</stp>
        <stp>銘柄名称</stp>
        <tr r="B90" s="3"/>
      </tp>
      <tp t="s">
        <v>キーエンス</v>
        <stp/>
        <stp>Market</stp>
        <stp>STOCK</stp>
        <stp>68610.T</stp>
        <stp>銘柄名称</stp>
        <tr r="B227" s="3"/>
      </tp>
    </main>
    <main first="rtdsrv.9a0e439d503c4134b124aa8a925fc5f1">
      <tp t="s">
        <v>日清食品ＨＤ</v>
        <stp/>
        <stp>Market</stp>
        <stp>STOCK</stp>
        <stp>28970.T</stp>
        <stp>銘柄名称</stp>
        <tr r="B56" s="3"/>
      </tp>
    </main>
    <main first="rtdsrv.9a0e439d503c4134b124aa8a925fc5f1">
      <tp t="s">
        <v>システナ</v>
        <stp/>
        <stp>Market</stp>
        <stp>STOCK</stp>
        <stp>23170.T</stp>
        <stp>銘柄名称</stp>
        <tr r="B33" s="3"/>
      </tp>
      <tp t="s">
        <v>三井住友フィナンシャルＧ</v>
        <stp/>
        <stp>Market</stp>
        <stp>STOCK</stp>
        <stp>83160.T</stp>
        <stp>銘柄名称</stp>
        <tr r="B317" s="3"/>
      </tp>
      <tp t="s">
        <v>三井住友トラストグルー</v>
        <stp/>
        <stp>Market</stp>
        <stp>STOCK</stp>
        <stp>83090.T</stp>
        <stp>銘柄名称</stp>
        <tr r="B316" s="3"/>
      </tp>
      <tp t="s">
        <v>シマノ</v>
        <stp/>
        <stp>Market</stp>
        <stp>STOCK</stp>
        <stp>73090.T</stp>
        <stp>銘柄名称</stp>
        <tr r="B259" s="3"/>
      </tp>
      <tp t="s">
        <v>りそなホールディングス</v>
        <stp/>
        <stp>Market</stp>
        <stp>STOCK</stp>
        <stp>83080.T</stp>
        <stp>銘柄名称</stp>
        <tr r="B315" s="3"/>
      </tp>
      <tp t="s">
        <v>野村総合研究所</v>
        <stp/>
        <stp>Market</stp>
        <stp>STOCK</stp>
        <stp>43070.T</stp>
        <stp>銘柄名称</stp>
        <tr r="B108" s="3"/>
      </tp>
      <tp t="s">
        <v>三菱ＵＦＪフィナンシャルＧ</v>
        <stp/>
        <stp>Market</stp>
        <stp>STOCK</stp>
        <stp>83060.T</stp>
        <stp>銘柄名称</stp>
        <tr r="B314" s="3"/>
      </tp>
      <tp t="s">
        <v>日立建機</v>
        <stp/>
        <stp>Market</stp>
        <stp>STOCK</stp>
        <stp>63050.T</stp>
        <stp>銘柄名称</stp>
        <tr r="B186" s="3"/>
      </tp>
      <tp t="s">
        <v>三井倉庫ＨＯＬＤ</v>
        <stp/>
        <stp>Market</stp>
        <stp>STOCK</stp>
        <stp>93020.T</stp>
        <stp>銘柄名称</stp>
        <tr r="B371" s="3"/>
      </tp>
      <tp t="s">
        <v>小松製作所</v>
        <stp/>
        <stp>Market</stp>
        <stp>STOCK</stp>
        <stp>63010.T</stp>
        <stp>銘柄名称</stp>
        <tr r="B185" s="3"/>
      </tp>
      <tp t="s">
        <v>日本特殊陶業</v>
        <stp/>
        <stp>Market</stp>
        <stp>STOCK</stp>
        <stp>53340.T</stp>
        <stp>銘柄名称</stp>
        <tr r="B155" s="3"/>
      </tp>
      <tp t="s">
        <v>日本碍子</v>
        <stp/>
        <stp>Market</stp>
        <stp>STOCK</stp>
        <stp>53330.T</stp>
        <stp>銘柄名称</stp>
        <tr r="B154" s="3"/>
      </tp>
      <tp t="s">
        <v>ニッスイ</v>
        <stp/>
        <stp>Market</stp>
        <stp>STOCK</stp>
        <stp>13320.T</stp>
        <stp>銘柄名称</stp>
        <tr r="B2" s="3"/>
      </tp>
      <tp t="s">
        <v>ＴＯＴＯ</v>
        <stp/>
        <stp>Market</stp>
        <stp>STOCK</stp>
        <stp>53320.T</stp>
        <stp>銘柄名称</stp>
        <tr r="B153" s="3"/>
      </tp>
      <tp t="s">
        <v>千葉銀行</v>
        <stp/>
        <stp>Market</stp>
        <stp>STOCK</stp>
        <stp>83310.T</stp>
        <stp>銘柄名称</stp>
        <tr r="B318" s="3"/>
      </tp>
      <tp t="s">
        <v>日鉄ソリューションズ</v>
        <stp/>
        <stp>Market</stp>
        <stp>STOCK</stp>
        <stp>23270.T</stp>
        <stp>銘柄名称</stp>
        <tr r="B34" s="3"/>
      </tp>
      <tp t="s">
        <v>クボタ</v>
        <stp/>
        <stp>Market</stp>
        <stp>STOCK</stp>
        <stp>63260.T</stp>
        <stp>銘柄名称</stp>
        <tr r="B188" s="3"/>
      </tp>
      <tp t="s">
        <v>ローツェ</v>
        <stp/>
        <stp>Market</stp>
        <stp>STOCK</stp>
        <stp>63230.T</stp>
        <stp>銘柄名称</stp>
        <tr r="B187" s="3"/>
      </tp>
      <tp t="s">
        <v>ふくおかフィナンシャルＧ</v>
        <stp/>
        <stp>Market</stp>
        <stp>STOCK</stp>
        <stp>83540.T</stp>
        <stp>銘柄名称</stp>
        <tr r="B319" s="3"/>
      </tp>
      <tp t="s">
        <v>コスモス薬品</v>
        <stp/>
        <stp>Market</stp>
        <stp>STOCK</stp>
        <stp>33490.T</stp>
        <stp>銘柄名称</stp>
        <tr r="B73" s="3"/>
      </tp>
      <tp t="s">
        <v>ＭＡＲＵＷＡ</v>
        <stp/>
        <stp>Market</stp>
        <stp>STOCK</stp>
        <stp>53440.T</stp>
        <stp>銘柄名称</stp>
        <tr r="B156" s="3"/>
      </tp>
      <tp t="s">
        <v>ディップ</v>
        <stp/>
        <stp>Market</stp>
        <stp>STOCK</stp>
        <stp>23790.T</stp>
        <stp>銘柄名称</stp>
        <tr r="B36" s="3"/>
      </tp>
      <tp t="s">
        <v>カカクコム</v>
        <stp/>
        <stp>Market</stp>
        <stp>STOCK</stp>
        <stp>23710.T</stp>
        <stp>銘柄名称</stp>
        <tr r="B35" s="3"/>
      </tp>
      <tp t="s">
        <v>オルガノ</v>
        <stp/>
        <stp>Market</stp>
        <stp>STOCK</stp>
        <stp>63680.T</stp>
        <stp>銘柄名称</stp>
        <tr r="B191" s="3"/>
      </tp>
      <tp t="s">
        <v>ダイキン工業</v>
        <stp/>
        <stp>Market</stp>
        <stp>STOCK</stp>
        <stp>63670.T</stp>
        <stp>銘柄名称</stp>
        <tr r="B190" s="3"/>
      </tp>
      <tp t="s">
        <v>荏原製作所</v>
        <stp/>
        <stp>Market</stp>
        <stp>STOCK</stp>
        <stp>63610.T</stp>
        <stp>銘柄名称</stp>
        <tr r="B189" s="3"/>
      </tp>
      <tp t="s">
        <v>シップヘルスケアＨＤ</v>
        <stp/>
        <stp>Market</stp>
        <stp>STOCK</stp>
        <stp>33600.T</stp>
        <stp>銘柄名称</stp>
        <tr r="B74" s="3"/>
      </tp>
      <tp t="s">
        <v>ニチアス</v>
        <stp/>
        <stp>Market</stp>
        <stp>STOCK</stp>
        <stp>53930.T</stp>
        <stp>銘柄名称</stp>
        <tr r="B157" s="3"/>
      </tp>
      <tp t="s">
        <v>ツルハホールディングス</v>
        <stp/>
        <stp>Market</stp>
        <stp>STOCK</stp>
        <stp>33910.T</stp>
        <stp>銘柄名称</stp>
        <tr r="B76" s="3"/>
      </tp>
      <tp t="s">
        <v>メルカリ</v>
        <stp/>
        <stp>Market</stp>
        <stp>STOCK</stp>
        <stp>43850.T</stp>
        <stp>銘柄名称</stp>
        <tr r="B109" s="3"/>
      </tp>
      <tp t="s">
        <v>ＳＢＳホールディングス</v>
        <stp/>
        <stp>Market</stp>
        <stp>STOCK</stp>
        <stp>23840.T</stp>
        <stp>銘柄名称</stp>
        <tr r="B37" s="3"/>
      </tp>
      <tp t="s">
        <v>ダイフク</v>
        <stp/>
        <stp>Market</stp>
        <stp>STOCK</stp>
        <stp>63830.T</stp>
        <stp>銘柄名称</stp>
        <tr r="B192" s="3"/>
      </tp>
      <tp t="s">
        <v>セブン＆アイ・ＨＬＤＧＳ</v>
        <stp/>
        <stp>Market</stp>
        <stp>STOCK</stp>
        <stp>33820.T</stp>
        <stp>銘柄名称</stp>
        <tr r="B75" s="3"/>
      </tp>
      <tp t="s">
        <v>三菱自動車工業</v>
        <stp/>
        <stp>Market</stp>
        <stp>STOCK</stp>
        <stp>72110.T</stp>
        <stp>銘柄名称</stp>
        <tr r="B250" s="3"/>
      </tp>
      <tp t="s">
        <v>積水化学</v>
        <stp/>
        <stp>Market</stp>
        <stp>STOCK</stp>
        <stp>42040.T</stp>
        <stp>銘柄名称</stp>
        <tr r="B107" s="3"/>
      </tp>
      <tp t="s">
        <v>トヨタ自動車</v>
        <stp/>
        <stp>Market</stp>
        <stp>STOCK</stp>
        <stp>72030.T</stp>
        <stp>銘柄名称</stp>
        <tr r="B249" s="3"/>
      </tp>
      <tp t="s">
        <v>住友ベ－クライト</v>
        <stp/>
        <stp>Market</stp>
        <stp>STOCK</stp>
        <stp>42030.T</stp>
        <stp>銘柄名称</stp>
        <tr r="B106" s="3"/>
      </tp>
      <tp t="s">
        <v>ＡＮＡホールディングス</v>
        <stp/>
        <stp>Market</stp>
        <stp>STOCK</stp>
        <stp>92020.T</stp>
        <stp>銘柄名称</stp>
        <tr r="B370" s="3"/>
      </tp>
      <tp t="s">
        <v>いすゞ自動車</v>
        <stp/>
        <stp>Market</stp>
        <stp>STOCK</stp>
        <stp>72020.T</stp>
        <stp>銘柄名称</stp>
        <tr r="B248" s="3"/>
      </tp>
      <tp t="s">
        <v>ダイセル</v>
        <stp/>
        <stp>Market</stp>
        <stp>STOCK</stp>
        <stp>42020.T</stp>
        <stp>銘柄名称</stp>
        <tr r="B105" s="3"/>
      </tp>
      <tp t="s">
        <v>日本航空</v>
        <stp/>
        <stp>Market</stp>
        <stp>STOCK</stp>
        <stp>92010.T</stp>
        <stp>銘柄名称</stp>
        <tr r="B369" s="3"/>
      </tp>
      <tp t="s">
        <v>森永製菓</v>
        <stp/>
        <stp>Market</stp>
        <stp>STOCK</stp>
        <stp>22010.T</stp>
        <stp>銘柄名称</stp>
        <tr r="B27" s="3"/>
      </tp>
      <tp t="s">
        <v>豊田自動織機</v>
        <stp/>
        <stp>Market</stp>
        <stp>STOCK</stp>
        <stp>62010.T</stp>
        <stp>銘柄名称</stp>
        <tr r="B181" s="3"/>
      </tp>
      <tp t="s">
        <v>野村不動産ＨＬＤＧＳ</v>
        <stp/>
        <stp>Market</stp>
        <stp>STOCK</stp>
        <stp>32310.T</stp>
        <stp>銘柄名称</stp>
        <tr r="B69" s="3"/>
      </tp>
      <tp t="s">
        <v>カルビー</v>
        <stp/>
        <stp>Market</stp>
        <stp>STOCK</stp>
        <stp>22290.T</stp>
        <stp>銘柄名称</stp>
        <tr r="B29" s="3"/>
      </tp>
      <tp t="s">
        <v>しまむら</v>
        <stp/>
        <stp>Market</stp>
        <stp>STOCK</stp>
        <stp>82270.T</stp>
        <stp>銘柄名称</stp>
        <tr r="B311" s="3"/>
      </tp>
      <tp t="s">
        <v>寿スピリッツ</v>
        <stp/>
        <stp>Market</stp>
        <stp>STOCK</stp>
        <stp>22220.T</stp>
        <stp>銘柄名称</stp>
        <tr r="B28" s="3"/>
      </tp>
      <tp t="s">
        <v>アイシン</v>
        <stp/>
        <stp>Market</stp>
        <stp>STOCK</stp>
        <stp>72590.T</stp>
        <stp>銘柄名称</stp>
        <tr r="B251" s="3"/>
      </tp>
      <tp t="s">
        <v>野村マイクロ・サイエンス</v>
        <stp/>
        <stp>Market</stp>
        <stp>STOCK</stp>
        <stp>62540.T</stp>
        <stp>銘柄名称</stp>
        <tr r="B182" s="3"/>
      </tp>
      <tp t="s">
        <v>クレディセゾン</v>
        <stp/>
        <stp>Market</stp>
        <stp>STOCK</stp>
        <stp>82530.T</stp>
        <stp>銘柄名称</stp>
        <tr r="B313" s="3"/>
      </tp>
      <tp t="s">
        <v>丸井グループ</v>
        <stp/>
        <stp>Market</stp>
        <stp>STOCK</stp>
        <stp>82520.T</stp>
        <stp>銘柄名称</stp>
        <tr r="B312" s="3"/>
      </tp>
      <tp t="s">
        <v>小糸製作所</v>
        <stp/>
        <stp>Market</stp>
        <stp>STOCK</stp>
        <stp>72760.T</stp>
        <stp>銘柄名称</stp>
        <tr r="B257" s="3"/>
      </tp>
      <tp t="s">
        <v>ＳＭＣ</v>
        <stp/>
        <stp>Market</stp>
        <stp>STOCK</stp>
        <stp>62730.T</stp>
        <stp>銘柄名称</stp>
        <tr r="B184" s="3"/>
      </tp>
      <tp t="s">
        <v>ヤマハ発動機</v>
        <stp/>
        <stp>Market</stp>
        <stp>STOCK</stp>
        <stp>72720.T</stp>
        <stp>銘柄名称</stp>
        <tr r="B256" s="3"/>
      </tp>
      <tp t="s">
        <v>ＳＵＢＡＲＵ</v>
        <stp/>
        <stp>Market</stp>
        <stp>STOCK</stp>
        <stp>72700.T</stp>
        <stp>銘柄名称</stp>
        <tr r="B255" s="3"/>
      </tp>
      <tp t="s">
        <v>明治ホールディングス</v>
        <stp/>
        <stp>Market</stp>
        <stp>STOCK</stp>
        <stp>22690.T</stp>
        <stp>銘柄名称</stp>
        <tr r="B32" s="3"/>
      </tp>
      <tp t="s">
        <v>スズキ</v>
        <stp/>
        <stp>Market</stp>
        <stp>STOCK</stp>
        <stp>72690.T</stp>
        <stp>銘柄名称</stp>
        <tr r="B254" s="3"/>
      </tp>
      <tp t="s">
        <v>三井海洋開発</v>
        <stp/>
        <stp>Market</stp>
        <stp>STOCK</stp>
        <stp>62690.T</stp>
        <stp>銘柄名称</stp>
        <tr r="B183" s="3"/>
      </tp>
      <tp t="s">
        <v>ヤクルト</v>
        <stp/>
        <stp>Market</stp>
        <stp>STOCK</stp>
        <stp>22670.T</stp>
        <stp>銘柄名称</stp>
        <tr r="B31" s="3"/>
      </tp>
      <tp t="s">
        <v>本田技研</v>
        <stp/>
        <stp>Market</stp>
        <stp>STOCK</stp>
        <stp>72670.T</stp>
        <stp>銘柄名称</stp>
        <tr r="B253" s="3"/>
      </tp>
      <tp t="s">
        <v>森永乳業</v>
        <stp/>
        <stp>Market</stp>
        <stp>STOCK</stp>
        <stp>22640.T</stp>
        <stp>銘柄名称</stp>
        <tr r="B30" s="3"/>
      </tp>
      <tp t="s">
        <v>マツダ</v>
        <stp/>
        <stp>Market</stp>
        <stp>STOCK</stp>
        <stp>72610.T</stp>
        <stp>銘柄名称</stp>
        <tr r="B252" s="3"/>
      </tp>
      <tp t="s">
        <v>飯田ＧＨＤ</v>
        <stp/>
        <stp>Market</stp>
        <stp>STOCK</stp>
        <stp>32910.T</stp>
        <stp>銘柄名称</stp>
        <tr r="B72" s="3"/>
      </tp>
      <tp t="s">
        <v>東急不動産ＨＤ</v>
        <stp/>
        <stp>Market</stp>
        <stp>STOCK</stp>
        <stp>32890.T</stp>
        <stp>銘柄名称</stp>
        <tr r="B71" s="3"/>
      </tp>
      <tp t="s">
        <v>オープンハウスグループ</v>
        <stp/>
        <stp>Market</stp>
        <stp>STOCK</stp>
        <stp>32880.T</stp>
        <stp>銘柄名称</stp>
        <tr r="B70" s="3"/>
      </tp>
      <tp t="s">
        <v>豊田合成</v>
        <stp/>
        <stp>Market</stp>
        <stp>STOCK</stp>
        <stp>72820.T</stp>
        <stp>銘柄名称</stp>
        <tr r="B258" s="3"/>
      </tp>
      <tp t="s">
        <v>飯野海運</v>
        <stp/>
        <stp>Market</stp>
        <stp>STOCK</stp>
        <stp>91190.T</stp>
        <stp>銘柄名称</stp>
        <tr r="B365" s="3"/>
      </tp>
      <tp t="s">
        <v>トヨタ紡織</v>
        <stp/>
        <stp>Market</stp>
        <stp>STOCK</stp>
        <stp>31160.T</stp>
        <stp>銘柄名称</stp>
        <tr r="B65" s="3"/>
      </tp>
      <tp t="s">
        <v>ユニ・チヤ－ム</v>
        <stp/>
        <stp>Market</stp>
        <stp>STOCK</stp>
        <stp>81130.T</stp>
        <stp>銘柄名称</stp>
        <tr r="B304" s="3"/>
      </tp>
      <tp t="s">
        <v>アマダ</v>
        <stp/>
        <stp>Market</stp>
        <stp>STOCK</stp>
        <stp>61130.T</stp>
        <stp>銘柄名称</stp>
        <tr r="B178" s="3"/>
      </tp>
      <tp t="s">
        <v>ゴ－ルドウイン</v>
        <stp/>
        <stp>Market</stp>
        <stp>STOCK</stp>
        <stp>81110.T</stp>
        <stp>銘柄名称</stp>
        <tr r="B303" s="3"/>
      </tp>
      <tp t="s">
        <v>ＮＳユナイテッド海運</v>
        <stp/>
        <stp>Market</stp>
        <stp>STOCK</stp>
        <stp>91100.T</stp>
        <stp>銘柄名称</stp>
        <tr r="B364" s="3"/>
      </tp>
      <tp t="s">
        <v>ブリヂストン</v>
        <stp/>
        <stp>Market</stp>
        <stp>STOCK</stp>
        <stp>51080.T</stp>
        <stp>銘柄名称</stp>
        <tr r="B152" s="3"/>
      </tp>
      <tp t="s">
        <v>川崎汽船</v>
        <stp/>
        <stp>Market</stp>
        <stp>STOCK</stp>
        <stp>91070.T</stp>
        <stp>銘柄名称</stp>
        <tr r="B363" s="3"/>
      </tp>
      <tp t="s">
        <v>ダイワボウＨＤ</v>
        <stp/>
        <stp>Market</stp>
        <stp>STOCK</stp>
        <stp>31070.T</stp>
        <stp>銘柄名称</stp>
        <tr r="B64" s="3"/>
      </tp>
      <tp t="s">
        <v>三菱ロジスネクスト</v>
        <stp/>
        <stp>Market</stp>
        <stp>STOCK</stp>
        <stp>71050.T</stp>
        <stp>銘柄名称</stp>
        <tr r="B243" s="3"/>
      </tp>
      <tp t="s">
        <v>ＴＯＹＯＴＩＲＥ</v>
        <stp/>
        <stp>Market</stp>
        <stp>STOCK</stp>
        <stp>51050.T</stp>
        <stp>銘柄名称</stp>
        <tr r="B151" s="3"/>
      </tp>
      <tp t="s">
        <v>商船三井</v>
        <stp/>
        <stp>Market</stp>
        <stp>STOCK</stp>
        <stp>91040.T</stp>
        <stp>銘柄名称</stp>
        <tr r="B362" s="3"/>
      </tp>
      <tp t="s">
        <v>日本郵船</v>
        <stp/>
        <stp>Market</stp>
        <stp>STOCK</stp>
        <stp>91010.T</stp>
        <stp>銘柄名称</stp>
        <tr r="B361" s="3"/>
      </tp>
      <tp t="s">
        <v>ツガミ</v>
        <stp/>
        <stp>Market</stp>
        <stp>STOCK</stp>
        <stp>61010.T</stp>
        <stp>銘柄名称</stp>
        <tr r="B177" s="3"/>
      </tp>
      <tp t="s">
        <v>横浜ゴム</v>
        <stp/>
        <stp>Market</stp>
        <stp>STOCK</stp>
        <stp>51010.T</stp>
        <stp>銘柄名称</stp>
        <tr r="B150" s="3"/>
      </tp>
      <tp t="s">
        <v>サンリオ</v>
        <stp/>
        <stp>Market</stp>
        <stp>STOCK</stp>
        <stp>81360.T</stp>
        <stp>銘柄名称</stp>
        <tr r="B307" s="3"/>
      </tp>
      <tp t="s">
        <v>伊藤忠エネクス</v>
        <stp/>
        <stp>Market</stp>
        <stp>STOCK</stp>
        <stp>81330.T</stp>
        <stp>銘柄名称</stp>
        <tr r="B306" s="3"/>
      </tp>
      <tp t="s">
        <v>マクニカホールディングス</v>
        <stp/>
        <stp>Market</stp>
        <stp>STOCK</stp>
        <stp>31320.T</stp>
        <stp>銘柄名称</stp>
        <tr r="B66" s="3"/>
      </tp>
      <tp t="s">
        <v>サンゲツ</v>
        <stp/>
        <stp>Market</stp>
        <stp>STOCK</stp>
        <stp>81300.T</stp>
        <stp>銘柄名称</stp>
        <tr r="B305" s="3"/>
      </tp>
      <tp t="s">
        <v>日本Ｍ＆Ａセンターホールデ</v>
        <stp/>
        <stp>Market</stp>
        <stp>STOCK</stp>
        <stp>21270.T</stp>
        <stp>銘柄名称</stp>
        <tr r="B23" s="3"/>
      </tp>
      <tp t="s">
        <v>ジェイエイシーリクルートメント</v>
        <stp/>
        <stp>Market</stp>
        <stp>STOCK</stp>
        <stp>21240.T</stp>
        <stp>銘柄名称</stp>
        <tr r="B22" s="3"/>
      </tp>
      <tp t="s">
        <v>加賀電子</v>
        <stp/>
        <stp>Market</stp>
        <stp>STOCK</stp>
        <stp>81540.T</stp>
        <stp>銘柄名称</stp>
        <tr r="B308" s="3"/>
      </tp>
      <tp t="s">
        <v>オープンアップグループ</v>
        <stp/>
        <stp>Market</stp>
        <stp>STOCK</stp>
        <stp>21540.T</stp>
        <stp>銘柄名称</stp>
        <tr r="B24" s="3"/>
      </tp>
      <tp t="s">
        <v>協和キリン</v>
        <stp/>
        <stp>Market</stp>
        <stp>STOCK</stp>
        <stp>41510.T</stp>
        <stp>銘柄名称</stp>
        <tr r="B99" s="3"/>
      </tp>
      <tp t="s">
        <v>クリエイトＳＤＨ</v>
        <stp/>
        <stp>Market</stp>
        <stp>STOCK</stp>
        <stp>31480.T</stp>
        <stp>銘柄名称</stp>
        <tr r="B67" s="3"/>
      </tp>
      <tp t="s">
        <v>ＦＰＧ</v>
        <stp/>
        <stp>Market</stp>
        <stp>STOCK</stp>
        <stp>71480.T</stp>
        <stp>銘柄名称</stp>
        <tr r="B244" s="3"/>
      </tp>
      <tp t="s">
        <v>ＮＩＰＰＯＮＥＸＰＲＥＳＳ</v>
        <stp/>
        <stp>Market</stp>
        <stp>STOCK</stp>
        <stp>91470.T</stp>
        <stp>銘柄名称</stp>
        <tr r="B368" s="3"/>
      </tp>
      <tp t="s">
        <v>ディスコ</v>
        <stp/>
        <stp>Market</stp>
        <stp>STOCK</stp>
        <stp>61460.T</stp>
        <stp>銘柄名称</stp>
        <tr r="B180" s="3"/>
      </tp>
      <tp t="s">
        <v>ＳＧホールディングス</v>
        <stp/>
        <stp>Market</stp>
        <stp>STOCK</stp>
        <stp>91430.T</stp>
        <stp>銘柄名称</stp>
        <tr r="B367" s="3"/>
      </tp>
      <tp t="s">
        <v>九州旅客鉄道</v>
        <stp/>
        <stp>Market</stp>
        <stp>STOCK</stp>
        <stp>91420.T</stp>
        <stp>銘柄名称</stp>
        <tr r="B366" s="3"/>
      </tp>
      <tp t="s">
        <v>ＤＭＧ森精機</v>
        <stp/>
        <stp>Market</stp>
        <stp>STOCK</stp>
        <stp>61410.T</stp>
        <stp>銘柄名称</stp>
        <tr r="B179" s="3"/>
      </tp>
      <tp t="s">
        <v>日本瓦斯</v>
        <stp/>
        <stp>Market</stp>
        <stp>STOCK</stp>
        <stp>81740.T</stp>
        <stp>銘柄名称</stp>
        <tr r="B309" s="3"/>
      </tp>
      <tp t="s">
        <v>パソナグループ</v>
        <stp/>
        <stp>Market</stp>
        <stp>STOCK</stp>
        <stp>21680.T</stp>
        <stp>銘柄名称</stp>
        <tr r="B25" s="3"/>
      </tp>
      <tp t="s">
        <v>めぶきフィナンシャルＧ</v>
        <stp/>
        <stp>Market</stp>
        <stp>STOCK</stp>
        <stp>71670.T</stp>
        <stp>銘柄名称</stp>
        <tr r="B246" s="3"/>
      </tp>
      <tp t="s">
        <v>全国保証</v>
        <stp/>
        <stp>Market</stp>
        <stp>STOCK</stp>
        <stp>71640.T</stp>
        <stp>銘柄名称</stp>
        <tr r="B245" s="3"/>
      </tp>
      <tp t="s">
        <v>ライフコ－ポレ－ション</v>
        <stp/>
        <stp>Market</stp>
        <stp>STOCK</stp>
        <stp>81940.T</stp>
        <stp>銘柄名称</stp>
        <tr r="B310" s="3"/>
      </tp>
      <tp t="s">
        <v>ビジョナル</v>
        <stp/>
        <stp>Market</stp>
        <stp>STOCK</stp>
        <stp>41940.T</stp>
        <stp>銘柄名称</stp>
        <tr r="B104" s="3"/>
      </tp>
      <tp t="s">
        <v>三菱ケミカルグループ</v>
        <stp/>
        <stp>Market</stp>
        <stp>STOCK</stp>
        <stp>41880.T</stp>
        <stp>銘柄名称</stp>
        <tr r="B103" s="3"/>
      </tp>
      <tp t="s">
        <v>ネクステージ</v>
        <stp/>
        <stp>Market</stp>
        <stp>STOCK</stp>
        <stp>31860.T</stp>
        <stp>銘柄名称</stp>
        <tr r="B68" s="3"/>
      </tp>
      <tp t="s">
        <v>横浜フィナンシャルグルーフ</v>
        <stp/>
        <stp>Market</stp>
        <stp>STOCK</stp>
        <stp>71860.T</stp>
        <stp>銘柄名称</stp>
        <tr r="B247" s="3"/>
      </tp>
      <tp t="s">
        <v>東京応化工業</v>
        <stp/>
        <stp>Market</stp>
        <stp>STOCK</stp>
        <stp>41860.T</stp>
        <stp>銘柄名称</stp>
        <tr r="B102" s="3"/>
      </tp>
      <tp t="s">
        <v>三井化学</v>
        <stp/>
        <stp>Market</stp>
        <stp>STOCK</stp>
        <stp>41830.T</stp>
        <stp>銘柄名称</stp>
        <tr r="B101" s="3"/>
      </tp>
      <tp t="s">
        <v>三菱瓦斯化学</v>
        <stp/>
        <stp>Market</stp>
        <stp>STOCK</stp>
        <stp>41820.T</stp>
        <stp>銘柄名称</stp>
        <tr r="B100" s="3"/>
      </tp>
      <tp t="s">
        <v>パーソルホールディングス</v>
        <stp/>
        <stp>Market</stp>
        <stp>STOCK</stp>
        <stp>21810.T</stp>
        <stp>銘柄名称</stp>
        <tr r="B26" s="3"/>
      </tp>
      <tp t="s">
        <v>出光興産</v>
        <stp/>
        <stp>Market</stp>
        <stp>STOCK</stp>
        <stp>50190.T</stp>
        <stp>銘柄名称</stp>
        <tr r="B145" s="3"/>
      </tp>
      <tp t="s">
        <v>豊田通商</v>
        <stp/>
        <stp>Market</stp>
        <stp>STOCK</stp>
        <stp>80150.T</stp>
        <stp>銘柄名称</stp>
        <tr r="B292" s="3"/>
      </tp>
      <tp t="s">
        <v>名村造船所</v>
        <stp/>
        <stp>Market</stp>
        <stp>STOCK</stp>
        <stp>70140.T</stp>
        <stp>銘柄名称</stp>
        <tr r="B242" s="3"/>
      </tp>
      <tp t="s">
        <v>ＩＨＩ</v>
        <stp/>
        <stp>Market</stp>
        <stp>STOCK</stp>
        <stp>70130.T</stp>
        <stp>銘柄名称</stp>
        <tr r="B241" s="3"/>
      </tp>
      <tp t="s">
        <v>川崎重工業</v>
        <stp/>
        <stp>Market</stp>
        <stp>STOCK</stp>
        <stp>70120.T</stp>
        <stp>銘柄名称</stp>
        <tr r="B240" s="3"/>
      </tp>
      <tp t="s">
        <v>三菱重工業</v>
        <stp/>
        <stp>Market</stp>
        <stp>STOCK</stp>
        <stp>70110.T</stp>
        <stp>銘柄名称</stp>
        <tr r="B239" s="3"/>
      </tp>
      <tp t="s">
        <v>京成電鉄</v>
        <stp/>
        <stp>Market</stp>
        <stp>STOCK</stp>
        <stp>90090.T</stp>
        <stp>銘柄名称</stp>
        <tr r="B352" s="3"/>
      </tp>
      <tp t="s">
        <v>京王電鉄</v>
        <stp/>
        <stp>Market</stp>
        <stp>STOCK</stp>
        <stp>90080.T</stp>
        <stp>銘柄名称</stp>
        <tr r="B351" s="3"/>
      </tp>
      <tp t="s">
        <v>小田急電鉄</v>
        <stp/>
        <stp>Market</stp>
        <stp>STOCK</stp>
        <stp>90070.T</stp>
        <stp>銘柄名称</stp>
        <tr r="B350" s="3"/>
      </tp>
      <tp t="s">
        <v>京浜急行</v>
        <stp/>
        <stp>Market</stp>
        <stp>STOCK</stp>
        <stp>90060.T</stp>
        <stp>銘柄名称</stp>
        <tr r="B349" s="3"/>
      </tp>
      <tp t="s">
        <v>東急</v>
        <stp/>
        <stp>Market</stp>
        <stp>STOCK</stp>
        <stp>90050.T</stp>
        <stp>銘柄名称</stp>
        <tr r="B348" s="3"/>
      </tp>
      <tp t="s">
        <v>三浦工業</v>
        <stp/>
        <stp>Market</stp>
        <stp>STOCK</stp>
        <stp>60050.T</stp>
        <stp>銘柄名称</stp>
        <tr r="B175" s="3"/>
      </tp>
      <tp t="s">
        <v>カナデビア</v>
        <stp/>
        <stp>Market</stp>
        <stp>STOCK</stp>
        <stp>70040.T</stp>
        <stp>銘柄名称</stp>
        <tr r="B238" s="3"/>
      </tp>
      <tp t="s">
        <v>レゾナック・ホールディング</v>
        <stp/>
        <stp>Market</stp>
        <stp>STOCK</stp>
        <stp>40040.T</stp>
        <stp>銘柄名称</stp>
        <tr r="B92" s="3"/>
      </tp>
      <tp t="s">
        <v>ヒューリック</v>
        <stp/>
        <stp>Market</stp>
        <stp>STOCK</stp>
        <stp>30030.T</stp>
        <stp>銘柄名称</stp>
        <tr r="B58" s="3"/>
      </tp>
      <tp t="s">
        <v>三井Ｅ＆Ｓ</v>
        <stp/>
        <stp>Market</stp>
        <stp>STOCK</stp>
        <stp>70030.T</stp>
        <stp>銘柄名称</stp>
        <tr r="B237" s="3"/>
      </tp>
      <tp t="s">
        <v>丸紅</v>
        <stp/>
        <stp>Market</stp>
        <stp>STOCK</stp>
        <stp>80020.T</stp>
        <stp>銘柄名称</stp>
        <tr r="B291" s="3"/>
      </tp>
      <tp t="s">
        <v>伊藤忠</v>
        <stp/>
        <stp>Market</stp>
        <stp>STOCK</stp>
        <stp>80010.T</stp>
        <stp>銘柄名称</stp>
        <tr r="B290" s="3"/>
      </tp>
      <tp t="s">
        <v>神戸物産</v>
        <stp/>
        <stp>Market</stp>
        <stp>STOCK</stp>
        <stp>30380.T</stp>
        <stp>銘柄名称</stp>
        <tr r="B59" s="3"/>
      </tp>
      <tp t="s">
        <v>東京エレクトロン</v>
        <stp/>
        <stp>Market</stp>
        <stp>STOCK</stp>
        <stp>80350.T</stp>
        <stp>銘柄名称</stp>
        <tr r="B295" s="3"/>
      </tp>
      <tp t="s">
        <v>ＡＮＹＣＯＬＯＲ</v>
        <stp/>
        <stp>Market</stp>
        <stp>STOCK</stp>
        <stp>50320.T</stp>
        <stp>銘柄名称</stp>
        <tr r="B148" s="3"/>
      </tp>
      <tp t="s">
        <v>三井物産</v>
        <stp/>
        <stp>Market</stp>
        <stp>STOCK</stp>
        <stp>80310.T</stp>
        <stp>銘柄名称</stp>
        <tr r="B294" s="3"/>
      </tp>
      <tp t="s">
        <v>西武ホールディングス</v>
        <stp/>
        <stp>Market</stp>
        <stp>STOCK</stp>
        <stp>90240.T</stp>
        <stp>銘柄名称</stp>
        <tr r="B355" s="3"/>
      </tp>
      <tp t="s">
        <v>東海旅客鉄道</v>
        <stp/>
        <stp>Market</stp>
        <stp>STOCK</stp>
        <stp>90220.T</stp>
        <stp>銘柄名称</stp>
        <tr r="B354" s="3"/>
      </tp>
      <tp t="s">
        <v>西日本旅客鉄道</v>
        <stp/>
        <stp>Market</stp>
        <stp>STOCK</stp>
        <stp>90210.T</stp>
        <stp>銘柄名称</stp>
        <tr r="B353" s="3"/>
      </tp>
      <tp t="s">
        <v>コスモエネルギーＨＬＤＧＳ</v>
        <stp/>
        <stp>Market</stp>
        <stp>STOCK</stp>
        <stp>50210.T</stp>
        <stp>銘柄名称</stp>
        <tr r="B147" s="3"/>
      </tp>
      <tp t="s">
        <v>日産化学</v>
        <stp/>
        <stp>Market</stp>
        <stp>STOCK</stp>
        <stp>40210.T</stp>
        <stp>銘柄名称</stp>
        <tr r="B93" s="3"/>
      </tp>
      <tp t="s">
        <v>兼松</v>
        <stp/>
        <stp>Market</stp>
        <stp>STOCK</stp>
        <stp>80200.T</stp>
        <stp>銘柄名称</stp>
        <tr r="B293" s="3"/>
      </tp>
      <tp t="s">
        <v>ＥＮＥＯＳホールディングス</v>
        <stp/>
        <stp>Market</stp>
        <stp>STOCK</stp>
        <stp>50200.T</stp>
        <stp>銘柄名称</stp>
        <tr r="B146" s="3"/>
      </tp>
      <tp t="s">
        <v>三菱商事</v>
        <stp/>
        <stp>Market</stp>
        <stp>STOCK</stp>
        <stp>80580.T</stp>
        <stp>銘柄名称</stp>
        <tr r="B298" s="3"/>
      </tp>
      <tp t="s">
        <v>ＢＩＰＲＯＧＹ</v>
        <stp/>
        <stp>Market</stp>
        <stp>STOCK</stp>
        <stp>80560.T</stp>
        <stp>銘柄名称</stp>
        <tr r="B297" s="3"/>
      </tp>
      <tp t="s">
        <v>住友商事</v>
        <stp/>
        <stp>Market</stp>
        <stp>STOCK</stp>
        <stp>80530.T</stp>
        <stp>銘柄名称</stp>
        <tr r="B296" s="3"/>
      </tp>
      <tp t="s">
        <v>東ソー</v>
        <stp/>
        <stp>Market</stp>
        <stp>STOCK</stp>
        <stp>40420.T</stp>
        <stp>銘柄名称</stp>
        <tr r="B94" s="3"/>
      </tp>
      <tp t="s">
        <v>近鉄グループＨＬＤＧＳ</v>
        <stp/>
        <stp>Market</stp>
        <stp>STOCK</stp>
        <stp>90410.T</stp>
        <stp>銘柄名称</stp>
        <tr r="B356" s="3"/>
      </tp>
      <tp t="s">
        <v>阪和興業</v>
        <stp/>
        <stp>Market</stp>
        <stp>STOCK</stp>
        <stp>80780.T</stp>
        <stp>銘柄名称</stp>
        <tr r="B300" s="3"/>
      </tp>
      <tp t="s">
        <v>インフロニアＨＤ</v>
        <stp/>
        <stp>Market</stp>
        <stp>STOCK</stp>
        <stp>50760.T</stp>
        <stp>銘柄名称</stp>
        <tr r="B149" s="3"/>
      </tp>
      <tp t="s">
        <v>センコーグループＨＬＤＧＳ</v>
        <stp/>
        <stp>Market</stp>
        <stp>STOCK</stp>
        <stp>90690.T</stp>
        <stp>銘柄名称</stp>
        <tr r="B359" s="3"/>
      </tp>
      <tp t="s">
        <v>山九</v>
        <stp/>
        <stp>Market</stp>
        <stp>STOCK</stp>
        <stp>90650.T</stp>
        <stp>銘柄名称</stp>
        <tr r="B358" s="3"/>
      </tp>
      <tp t="s">
        <v>ヤマトホールディングス</v>
        <stp/>
        <stp>Market</stp>
        <stp>STOCK</stp>
        <stp>90640.T</stp>
        <stp>銘柄名称</stp>
        <tr r="B357" s="3"/>
      </tp>
      <tp t="s">
        <v>ＭｏｎｏｔａＲＯ</v>
        <stp/>
        <stp>Market</stp>
        <stp>STOCK</stp>
        <stp>30640.T</stp>
        <stp>銘柄名称</stp>
        <tr r="B60" s="3"/>
      </tp>
      <tp t="s">
        <v>信越化学</v>
        <stp/>
        <stp>Market</stp>
        <stp>STOCK</stp>
        <stp>40630.T</stp>
        <stp>銘柄名称</stp>
        <tr r="B96" s="3"/>
      </tp>
      <tp t="s">
        <v>イビデン</v>
        <stp/>
        <stp>Market</stp>
        <stp>STOCK</stp>
        <stp>40620.T</stp>
        <stp>銘柄名称</stp>
        <tr r="B95" s="3"/>
      </tp>
      <tp t="s">
        <v>キヤノンマーケティングＪＰＮ</v>
        <stp/>
        <stp>Market</stp>
        <stp>STOCK</stp>
        <stp>80600.T</stp>
        <stp>銘柄名称</stp>
        <tr r="B299" s="3"/>
      </tp>
      <tp t="s">
        <v>稲畑産業</v>
        <stp/>
        <stp>Market</stp>
        <stp>STOCK</stp>
        <stp>80980.T</stp>
        <stp>銘柄名称</stp>
        <tr r="B302" s="3"/>
      </tp>
      <tp t="s">
        <v>リクルートホールディングス</v>
        <stp/>
        <stp>Market</stp>
        <stp>STOCK</stp>
        <stp>60980.T</stp>
        <stp>銘柄名称</stp>
        <tr r="B176" s="3"/>
      </tp>
      <tp t="s">
        <v>ＺＯＺＯ</v>
        <stp/>
        <stp>Market</stp>
        <stp>STOCK</stp>
        <stp>30920.T</stp>
        <stp>銘柄名称</stp>
        <tr r="B63" s="3"/>
      </tp>
      <tp t="s">
        <v>日本酸素ＨＬＤＧＳ</v>
        <stp/>
        <stp>Market</stp>
        <stp>STOCK</stp>
        <stp>40910.T</stp>
        <stp>銘柄名称</stp>
        <tr r="B98" s="3"/>
      </tp>
      <tp t="s">
        <v>ＡＺ－ＣＯＭ丸和ホールディ</v>
        <stp/>
        <stp>Market</stp>
        <stp>STOCK</stp>
        <stp>90900.T</stp>
        <stp>銘柄名称</stp>
        <tr r="B360" s="3"/>
      </tp>
      <tp t="s">
        <v>岩谷産業</v>
        <stp/>
        <stp>Market</stp>
        <stp>STOCK</stp>
        <stp>80880.T</stp>
        <stp>銘柄名称</stp>
        <tr r="B301" s="3"/>
      </tp>
      <tp t="s">
        <v>マツキヨココカラ＆カンパニー</v>
        <stp/>
        <stp>Market</stp>
        <stp>STOCK</stp>
        <stp>30880.T</stp>
        <stp>銘柄名称</stp>
        <tr r="B62" s="3"/>
      </tp>
      <tp t="s">
        <v>エア・ウォーター</v>
        <stp/>
        <stp>Market</stp>
        <stp>STOCK</stp>
        <stp>40880.T</stp>
        <stp>銘柄名称</stp>
        <tr r="B97" s="3"/>
      </tp>
      <tp t="s">
        <v>Ｊ．フロントリテイリング</v>
        <stp/>
        <stp>Market</stp>
        <stp>STOCK</stp>
        <stp>30860.T</stp>
        <stp>銘柄名称</stp>
        <tr r="B61" s="3"/>
      </tp>
      <tp t="s">
        <v>ＳＣＳＫ</v>
        <stp/>
        <stp>Market</stp>
        <stp>STOCK</stp>
        <stp>97190.T</stp>
        <stp>銘柄名称</stp>
        <tr r="B390" s="3"/>
      </tp>
      <tp t="s">
        <v>安藤・間</v>
        <stp/>
        <stp>Market</stp>
        <stp>STOCK</stp>
        <stp>17190.T</stp>
        <stp>銘柄名称</stp>
        <tr r="B8" s="3"/>
      </tp>
      <tp t="s">
        <v>ナカニシ</v>
        <stp/>
        <stp>Market</stp>
        <stp>STOCK</stp>
        <stp>77160.T</stp>
        <stp>銘柄名称</stp>
        <tr r="B269" s="3"/>
      </tp>
      <tp t="s">
        <v>日本オラクル</v>
        <stp/>
        <stp>Market</stp>
        <stp>STOCK</stp>
        <stp>47160.T</stp>
        <stp>銘柄名称</stp>
        <tr r="B135" s="3"/>
      </tp>
      <tp t="s">
        <v>ＤＯＷＡホールディングス</v>
        <stp/>
        <stp>Market</stp>
        <stp>STOCK</stp>
        <stp>57140.T</stp>
        <stp>銘柄名称</stp>
        <tr r="B167" s="3"/>
      </tp>
      <tp t="s">
        <v>住友鉱山</v>
        <stp/>
        <stp>Market</stp>
        <stp>STOCK</stp>
        <stp>57130.T</stp>
        <stp>銘柄名称</stp>
        <tr r="B166" s="3"/>
      </tp>
      <tp t="s">
        <v>サンケン電気</v>
        <stp/>
        <stp>Market</stp>
        <stp>STOCK</stp>
        <stp>67070.T</stp>
        <stp>銘柄名称</stp>
        <tr r="B213" s="3"/>
      </tp>
      <tp t="s">
        <v>三井金属</v>
        <stp/>
        <stp>Market</stp>
        <stp>STOCK</stp>
        <stp>57060.T</stp>
        <stp>銘柄名称</stp>
        <tr r="B165" s="3"/>
      </tp>
      <tp t="s">
        <v>トレンドマイクロ</v>
        <stp/>
        <stp>Market</stp>
        <stp>STOCK</stp>
        <stp>47040.T</stp>
        <stp>銘柄名称</stp>
        <tr r="B134" s="3"/>
      </tp>
      <tp t="s">
        <v>日本マクドナルドＨＬＤＧ</v>
        <stp/>
        <stp>Market</stp>
        <stp>STOCK</stp>
        <stp>27020.T</stp>
        <stp>銘柄名称</stp>
        <tr r="B46" s="3"/>
      </tp>
      <tp t="s">
        <v>富士通</v>
        <stp/>
        <stp>Market</stp>
        <stp>STOCK</stp>
        <stp>67020.T</stp>
        <stp>銘柄名称</stp>
        <tr r="B212" s="3"/>
      </tp>
      <tp t="s">
        <v>島津製作所</v>
        <stp/>
        <stp>Market</stp>
        <stp>STOCK</stp>
        <stp>77010.T</stp>
        <stp>銘柄名称</stp>
        <tr r="B268" s="3"/>
      </tp>
      <tp t="s">
        <v>日本電気</v>
        <stp/>
        <stp>Market</stp>
        <stp>STOCK</stp>
        <stp>67010.T</stp>
        <stp>銘柄名称</stp>
        <tr r="B211" s="3"/>
      </tp>
      <tp t="s">
        <v>セコム</v>
        <stp/>
        <stp>Market</stp>
        <stp>STOCK</stp>
        <stp>97350.T</stp>
        <stp>銘柄名称</stp>
        <tr r="B391" s="3"/>
      </tp>
      <tp t="s">
        <v>ＳＣＲＥＥＮホールディングス</v>
        <stp/>
        <stp>Market</stp>
        <stp>STOCK</stp>
        <stp>77350.T</stp>
        <stp>銘柄名称</stp>
        <tr r="B272" s="3"/>
      </tp>
      <tp t="s">
        <v>オリンパス</v>
        <stp/>
        <stp>Market</stp>
        <stp>STOCK</stp>
        <stp>77330.T</stp>
        <stp>銘柄名称</stp>
        <tr r="B271" s="3"/>
      </tp>
      <tp t="s">
        <v>ユー・エス・エス</v>
        <stp/>
        <stp>Market</stp>
        <stp>STOCK</stp>
        <stp>47320.T</stp>
        <stp>銘柄名称</stp>
        <tr r="B137" s="3"/>
      </tp>
      <tp t="s">
        <v>ソニーフィナンシャルグループ</v>
        <stp/>
        <stp>Market</stp>
        <stp>STOCK</stp>
        <stp>87290.T</stp>
        <stp>銘柄名称</stp>
        <tr r="B336" s="3"/>
      </tp>
      <tp t="s">
        <v>東京精密</v>
        <stp/>
        <stp>Market</stp>
        <stp>STOCK</stp>
        <stp>77290.T</stp>
        <stp>銘柄名称</stp>
        <tr r="B270" s="3"/>
      </tp>
      <tp t="s">
        <v>アルバック</v>
        <stp/>
        <stp>Market</stp>
        <stp>STOCK</stp>
        <stp>67280.T</stp>
        <stp>銘柄名称</stp>
        <tr r="B216" s="3"/>
      </tp>
      <tp t="s">
        <v>パルグループＨＬＤＧＳ</v>
        <stp/>
        <stp>Market</stp>
        <stp>STOCK</stp>
        <stp>27260.T</stp>
        <stp>銘柄名称</stp>
        <tr r="B47" s="3"/>
      </tp>
      <tp t="s">
        <v>ＭＳ＆ＡＤ</v>
        <stp/>
        <stp>Market</stp>
        <stp>STOCK</stp>
        <stp>87250.T</stp>
        <stp>銘柄名称</stp>
        <tr r="B335" s="3"/>
      </tp>
      <tp t="s">
        <v>セイコーエプソン</v>
        <stp/>
        <stp>Market</stp>
        <stp>STOCK</stp>
        <stp>67240.T</stp>
        <stp>銘柄名称</stp>
        <tr r="B215" s="3"/>
      </tp>
      <tp t="s">
        <v>ルネサスエレクトロニクス</v>
        <stp/>
        <stp>Market</stp>
        <stp>STOCK</stp>
        <stp>67230.T</stp>
        <stp>銘柄名称</stp>
        <tr r="B214" s="3"/>
      </tp>
      <tp t="s">
        <v>フューチャー</v>
        <stp/>
        <stp>Market</stp>
        <stp>STOCK</stp>
        <stp>47220.T</stp>
        <stp>銘柄名称</stp>
        <tr r="B136" s="3"/>
      </tp>
      <tp t="s">
        <v>コムシスホールディングス</v>
        <stp/>
        <stp>Market</stp>
        <stp>STOCK</stp>
        <stp>17210.T</stp>
        <stp>銘柄名称</stp>
        <tr r="B9" s="3"/>
      </tp>
      <tp t="s">
        <v>ＮＳＤ</v>
        <stp/>
        <stp>Market</stp>
        <stp>STOCK</stp>
        <stp>97590.T</stp>
        <stp>銘柄名称</stp>
        <tr r="B393" s="3"/>
      </tp>
      <tp t="s">
        <v>ソニーグループ</v>
        <stp/>
        <stp>Market</stp>
        <stp>STOCK</stp>
        <stp>67580.T</stp>
        <stp>銘柄名称</stp>
        <tr r="B218" s="3"/>
      </tp>
      <tp t="s">
        <v>パナソニックホールディンク</v>
        <stp/>
        <stp>Market</stp>
        <stp>STOCK</stp>
        <stp>67520.T</stp>
        <stp>銘柄名称</stp>
        <tr r="B217" s="3"/>
      </tp>
      <tp t="s">
        <v>キヤノン</v>
        <stp/>
        <stp>Market</stp>
        <stp>STOCK</stp>
        <stp>77510.T</stp>
        <stp>銘柄名称</stp>
        <tr r="B277" s="3"/>
      </tp>
      <tp t="s">
        <v>第一生命ＨＬＤＧＳ</v>
        <stp/>
        <stp>Market</stp>
        <stp>STOCK</stp>
        <stp>87500.T</stp>
        <stp>銘柄名称</stp>
        <tr r="B337" s="3"/>
      </tp>
      <tp t="s">
        <v>朝日インテック</v>
        <stp/>
        <stp>Market</stp>
        <stp>STOCK</stp>
        <stp>77470.T</stp>
        <stp>銘柄名称</stp>
        <tr r="B276" s="3"/>
      </tp>
      <tp t="s">
        <v>メイテックグループホールデ</v>
        <stp/>
        <stp>Market</stp>
        <stp>STOCK</stp>
        <stp>97440.T</stp>
        <stp>銘柄名称</stp>
        <tr r="B392" s="3"/>
      </tp>
      <tp t="s">
        <v>ノーリツ鋼機</v>
        <stp/>
        <stp>Market</stp>
        <stp>STOCK</stp>
        <stp>77440.T</stp>
        <stp>銘柄名称</stp>
        <tr r="B275" s="3"/>
      </tp>
      <tp t="s">
        <v>ＨＯＹＡ</v>
        <stp/>
        <stp>Market</stp>
        <stp>STOCK</stp>
        <stp>77410.T</stp>
        <stp>銘柄名称</stp>
        <tr r="B274" s="3"/>
      </tp>
      <tp t="s">
        <v>タムロン</v>
        <stp/>
        <stp>Market</stp>
        <stp>STOCK</stp>
        <stp>77400.T</stp>
        <stp>銘柄名称</stp>
        <tr r="B273" s="3"/>
      </tp>
      <tp t="s">
        <v>インターネットイニシアティブ</v>
        <stp/>
        <stp>Market</stp>
        <stp>STOCK</stp>
        <stp>37740.T</stp>
        <stp>銘柄名称</stp>
        <tr r="B89" s="3"/>
      </tp>
      <tp t="s">
        <v>ＧＭＯペイメントゲートウェイ</v>
        <stp/>
        <stp>Market</stp>
        <stp>STOCK</stp>
        <stp>37690.T</stp>
        <stp>銘柄名称</stp>
        <tr r="B88" s="3"/>
      </tp>
      <tp t="s">
        <v>双日</v>
        <stp/>
        <stp>Market</stp>
        <stp>STOCK</stp>
        <stp>27680.T</stp>
        <stp>銘柄名称</stp>
        <tr r="B50" s="3"/>
      </tp>
      <tp t="s">
        <v>大塚商会</v>
        <stp/>
        <stp>Market</stp>
        <stp>STOCK</stp>
        <stp>47680.T</stp>
        <stp>銘柄名称</stp>
        <tr r="B138" s="3"/>
      </tp>
      <tp t="s">
        <v>円谷フィールズホールディ</v>
        <stp/>
        <stp>Market</stp>
        <stp>STOCK</stp>
        <stp>27670.T</stp>
        <stp>銘柄名称</stp>
        <tr r="B49" s="3"/>
      </tp>
      <tp t="s">
        <v>コナミグループ</v>
        <stp/>
        <stp>Market</stp>
        <stp>STOCK</stp>
        <stp>97660.T</stp>
        <stp>銘柄名称</stp>
        <tr r="B394" s="3"/>
      </tp>
      <tp t="s">
        <v>東京海上ＨＤ</v>
        <stp/>
        <stp>Market</stp>
        <stp>STOCK</stp>
        <stp>87660.T</stp>
        <stp>銘柄名称</stp>
        <tr r="B338" s="3"/>
      </tp>
      <tp t="s">
        <v>ガンホー・オンライン・エンター</v>
        <stp/>
        <stp>Market</stp>
        <stp>STOCK</stp>
        <stp>37650.T</stp>
        <stp>銘柄名称</stp>
        <tr r="B87" s="3"/>
      </tp>
      <tp t="s">
        <v>シチズン時計</v>
        <stp/>
        <stp>Market</stp>
        <stp>STOCK</stp>
        <stp>77620.T</stp>
        <stp>銘柄名称</stp>
        <tr r="B278" s="3"/>
      </tp>
      <tp t="s">
        <v>ＴＤＫ</v>
        <stp/>
        <stp>Market</stp>
        <stp>STOCK</stp>
        <stp>67620.T</stp>
        <stp>銘柄名称</stp>
        <tr r="B219" s="3"/>
      </tp>
      <tp t="s">
        <v>東京エレクトロンデバイス</v>
        <stp/>
        <stp>Market</stp>
        <stp>STOCK</stp>
        <stp>27600.T</stp>
        <stp>銘柄名称</stp>
        <tr r="B48" s="3"/>
      </tp>
      <tp t="s">
        <v>メイコー</v>
        <stp/>
        <stp>Market</stp>
        <stp>STOCK</stp>
        <stp>67870.T</stp>
        <stp>銘柄名称</stp>
        <tr r="B220" s="3"/>
      </tp>
      <tp t="s">
        <v>関西ペイント</v>
        <stp/>
        <stp>Market</stp>
        <stp>STOCK</stp>
        <stp>46130.T</stp>
        <stp>銘柄名称</stp>
        <tr r="B125" s="3"/>
      </tp>
      <tp t="s">
        <v>日本ペイントＨＯＬＤ</v>
        <stp/>
        <stp>Market</stp>
        <stp>STOCK</stp>
        <stp>46120.T</stp>
        <stp>銘柄名称</stp>
        <tr r="B124" s="3"/>
      </tp>
      <tp t="s">
        <v>ＩＮＰＥＸ</v>
        <stp/>
        <stp>Market</stp>
        <stp>STOCK</stp>
        <stp>16050.T</stp>
        <stp>銘柄名称</stp>
        <tr r="B6" s="3"/>
      </tp>
      <tp t="s">
        <v>野村ホールディングス</v>
        <stp/>
        <stp>Market</stp>
        <stp>STOCK</stp>
        <stp>86040.T</stp>
        <stp>銘柄名称</stp>
        <tr r="B332" s="3"/>
      </tp>
      <tp t="s">
        <v>東宝</v>
        <stp/>
        <stp>Market</stp>
        <stp>STOCK</stp>
        <stp>96020.T</stp>
        <stp>銘柄名称</stp>
        <tr r="B387" s="3"/>
      </tp>
      <tp t="s">
        <v>大和証券Ｇ本社</v>
        <stp/>
        <stp>Market</stp>
        <stp>STOCK</stp>
        <stp>86010.T</stp>
        <stp>銘柄名称</stp>
        <tr r="B331" s="3"/>
      </tp>
      <tp t="s">
        <v>コーエーテクモＨＤ</v>
        <stp/>
        <stp>Market</stp>
        <stp>STOCK</stp>
        <stp>36350.T</stp>
        <stp>銘柄名称</stp>
        <tr r="B84" s="3"/>
      </tp>
      <tp t="s">
        <v>ＪＶＣケンウッド</v>
        <stp/>
        <stp>Market</stp>
        <stp>STOCK</stp>
        <stp>66320.T</stp>
        <stp>銘柄名称</stp>
        <tr r="B208" s="3"/>
      </tp>
      <tp t="s">
        <v>ＳＯＭＰＯホールディングス</v>
        <stp/>
        <stp>Market</stp>
        <stp>STOCK</stp>
        <stp>86300.T</stp>
        <stp>銘柄名称</stp>
        <tr r="B333" s="3"/>
      </tp>
      <tp t="s">
        <v>ＴＩＳ</v>
        <stp/>
        <stp>Market</stp>
        <stp>STOCK</stp>
        <stp>36260.T</stp>
        <stp>銘柄名称</stp>
        <tr r="B83" s="3"/>
      </tp>
      <tp t="s">
        <v>太陽ホールディングス</v>
        <stp/>
        <stp>Market</stp>
        <stp>STOCK</stp>
        <stp>46260.T</stp>
        <stp>銘柄名称</stp>
        <tr r="B126" s="3"/>
      </tp>
      <tp t="s">
        <v>ネクソン</v>
        <stp/>
        <stp>Market</stp>
        <stp>STOCK</stp>
        <stp>36590.T</stp>
        <stp>銘柄名称</stp>
        <tr r="B85" s="3"/>
      </tp>
      <tp t="s">
        <v>スギホールディングス</v>
        <stp/>
        <stp>Market</stp>
        <stp>STOCK</stp>
        <stp>76490.T</stp>
        <stp>銘柄名称</stp>
        <tr r="B267" s="3"/>
      </tp>
      <tp t="s">
        <v>オムロン</v>
        <stp/>
        <stp>Market</stp>
        <stp>STOCK</stp>
        <stp>66450.T</stp>
        <stp>銘柄名称</stp>
        <tr r="B209" s="3"/>
      </tp>
      <tp t="s">
        <v>アスクル</v>
        <stp/>
        <stp>Market</stp>
        <stp>STOCK</stp>
        <stp>26780.T</stp>
        <stp>銘柄名称</stp>
        <tr r="B44" s="3"/>
      </tp>
      <tp t="s">
        <v>エービーシー・マート</v>
        <stp/>
        <stp>Market</stp>
        <stp>STOCK</stp>
        <stp>26700.T</stp>
        <stp>銘柄名称</stp>
        <tr r="B43" s="3"/>
      </tp>
      <tp t="s">
        <v>ＭＣＪ</v>
        <stp/>
        <stp>Market</stp>
        <stp>STOCK</stp>
        <stp>66700.T</stp>
        <stp>銘柄名称</stp>
        <tr r="B210" s="3"/>
      </tp>
      <tp t="s">
        <v>パーク２４</v>
        <stp/>
        <stp>Market</stp>
        <stp>STOCK</stp>
        <stp>46660.T</stp>
        <stp>銘柄名称</stp>
        <tr r="B128" s="3"/>
      </tp>
      <tp t="s">
        <v>石油資源開発</v>
        <stp/>
        <stp>Market</stp>
        <stp>STOCK</stp>
        <stp>16620.T</stp>
        <stp>銘柄名称</stp>
        <tr r="B7" s="3"/>
      </tp>
      <tp t="s">
        <v>オリエンタルランド</v>
        <stp/>
        <stp>Market</stp>
        <stp>STOCK</stp>
        <stp>46610.T</stp>
        <stp>銘柄名称</stp>
        <tr r="B127" s="3"/>
      </tp>
      <tp t="s">
        <v>カプコン</v>
        <stp/>
        <stp>Market</stp>
        <stp>STOCK</stp>
        <stp>96970.T</stp>
        <stp>銘柄名称</stp>
        <tr r="B389" s="3"/>
      </tp>
      <tp t="s">
        <v>日本取引所グループ</v>
        <stp/>
        <stp>Market</stp>
        <stp>STOCK</stp>
        <stp>86970.T</stp>
        <stp>銘柄名称</stp>
        <tr r="B334" s="3"/>
      </tp>
      <tp t="s">
        <v>ＳＨＩＦＴ</v>
        <stp/>
        <stp>Market</stp>
        <stp>STOCK</stp>
        <stp>36970.T</stp>
        <stp>銘柄名称</stp>
        <tr r="B86" s="3"/>
      </tp>
      <tp t="s">
        <v>ＬＩＮＥヤフー</v>
        <stp/>
        <stp>Market</stp>
        <stp>STOCK</stp>
        <stp>46890.T</stp>
        <stp>銘柄名称</stp>
        <tr r="B133" s="3"/>
      </tp>
      <tp t="s">
        <v>ジャストシステム</v>
        <stp/>
        <stp>Market</stp>
        <stp>STOCK</stp>
        <stp>46860.T</stp>
        <stp>銘柄名称</stp>
        <tr r="B132" s="3"/>
      </tp>
      <tp t="s">
        <v>アンドエスティＨＤ</v>
        <stp/>
        <stp>Market</stp>
        <stp>STOCK</stp>
        <stp>26850.T</stp>
        <stp>銘柄名称</stp>
        <tr r="B45" s="3"/>
      </tp>
      <tp t="s">
        <v>スクウェア・エニックス・ＨＤ</v>
        <stp/>
        <stp>Market</stp>
        <stp>STOCK</stp>
        <stp>96840.T</stp>
        <stp>銘柄名称</stp>
        <tr r="B388" s="3"/>
      </tp>
      <tp t="s">
        <v>オービック</v>
        <stp/>
        <stp>Market</stp>
        <stp>STOCK</stp>
        <stp>46840.T</stp>
        <stp>銘柄名称</stp>
        <tr r="B131" s="3"/>
      </tp>
      <tp t="s">
        <v>リゾートトラスト</v>
        <stp/>
        <stp>Market</stp>
        <stp>STOCK</stp>
        <stp>46810.T</stp>
        <stp>銘柄名称</stp>
        <tr r="B130" s="3"/>
      </tp>
      <tp t="s">
        <v>ラウンドワン</v>
        <stp/>
        <stp>Market</stp>
        <stp>STOCK</stp>
        <stp>46800.T</stp>
        <stp>銘柄名称</stp>
        <tr r="B129" s="3"/>
      </tp>
      <tp t="s">
        <v>中外製薬</v>
        <stp/>
        <stp>Market</stp>
        <stp>STOCK</stp>
        <stp>45190.T</stp>
        <stp>銘柄名称</stp>
        <tr r="B116" s="3"/>
      </tp>
      <tp t="s">
        <v>三井松島ＨＬＤＧＳ</v>
        <stp/>
        <stp>Market</stp>
        <stp>STOCK</stp>
        <stp>15180.T</stp>
        <stp>銘柄名称</stp>
        <tr r="B5" s="3"/>
      </tp>
      <tp t="s">
        <v>日本新薬</v>
        <stp/>
        <stp>Market</stp>
        <stp>STOCK</stp>
        <stp>45160.T</stp>
        <stp>銘柄名称</stp>
        <tr r="B115" s="3"/>
      </tp>
      <tp t="s">
        <v>アイフル</v>
        <stp/>
        <stp>Market</stp>
        <stp>STOCK</stp>
        <stp>85150.T</stp>
        <stp>銘柄名称</stp>
        <tr r="B326" s="3"/>
      </tp>
      <tp t="s">
        <v>電源開発</v>
        <stp/>
        <stp>Market</stp>
        <stp>STOCK</stp>
        <stp>95130.T</stp>
        <stp>銘柄名称</stp>
        <tr r="B384" s="3"/>
      </tp>
      <tp t="s">
        <v>北海道電力</v>
        <stp/>
        <stp>Market</stp>
        <stp>STOCK</stp>
        <stp>95090.T</stp>
        <stp>銘柄名称</stp>
        <tr r="B383" s="3"/>
      </tp>
      <tp t="s">
        <v>九州電力</v>
        <stp/>
        <stp>Market</stp>
        <stp>STOCK</stp>
        <stp>95080.T</stp>
        <stp>銘柄名称</stp>
        <tr r="B382" s="3"/>
      </tp>
      <tp t="s">
        <v>四国電力</v>
        <stp/>
        <stp>Market</stp>
        <stp>STOCK</stp>
        <stp>95070.T</stp>
        <stp>銘柄名称</stp>
        <tr r="B381" s="3"/>
      </tp>
      <tp t="s">
        <v>塩野義製薬</v>
        <stp/>
        <stp>Market</stp>
        <stp>STOCK</stp>
        <stp>45070.T</stp>
        <stp>銘柄名称</stp>
        <tr r="B114" s="3"/>
      </tp>
      <tp t="s">
        <v>東北電力</v>
        <stp/>
        <stp>Market</stp>
        <stp>STOCK</stp>
        <stp>95060.T</stp>
        <stp>銘柄名称</stp>
        <tr r="B380" s="3"/>
      </tp>
      <tp t="s">
        <v>安川電機</v>
        <stp/>
        <stp>Market</stp>
        <stp>STOCK</stp>
        <stp>65060.T</stp>
        <stp>銘柄名称</stp>
        <tr r="B203" s="3"/>
      </tp>
      <tp t="s">
        <v>富士電機</v>
        <stp/>
        <stp>Market</stp>
        <stp>STOCK</stp>
        <stp>65040.T</stp>
        <stp>銘柄名称</stp>
        <tr r="B202" s="3"/>
      </tp>
      <tp t="s">
        <v>関西電力</v>
        <stp/>
        <stp>Market</stp>
        <stp>STOCK</stp>
        <stp>95030.T</stp>
        <stp>銘柄名称</stp>
        <tr r="B379" s="3"/>
      </tp>
      <tp t="s">
        <v>キリンＨＤ</v>
        <stp/>
        <stp>Market</stp>
        <stp>STOCK</stp>
        <stp>25030.T</stp>
        <stp>銘柄名称</stp>
        <tr r="B40" s="3"/>
      </tp>
      <tp t="s">
        <v>三菱電機</v>
        <stp/>
        <stp>Market</stp>
        <stp>STOCK</stp>
        <stp>65030.T</stp>
        <stp>銘柄名称</stp>
        <tr r="B201" s="3"/>
      </tp>
      <tp t="s">
        <v>アステラス製薬</v>
        <stp/>
        <stp>Market</stp>
        <stp>STOCK</stp>
        <stp>45030.T</stp>
        <stp>銘柄名称</stp>
        <tr r="B113" s="3"/>
      </tp>
      <tp t="s">
        <v>中部電力</v>
        <stp/>
        <stp>Market</stp>
        <stp>STOCK</stp>
        <stp>95020.T</stp>
        <stp>銘柄名称</stp>
        <tr r="B378" s="3"/>
      </tp>
      <tp t="s">
        <v>アサヒグループホールディン</v>
        <stp/>
        <stp>Market</stp>
        <stp>STOCK</stp>
        <stp>25020.T</stp>
        <stp>銘柄名称</stp>
        <tr r="B39" s="3"/>
      </tp>
      <tp t="s">
        <v>日立</v>
        <stp/>
        <stp>Market</stp>
        <stp>STOCK</stp>
        <stp>65010.T</stp>
        <stp>銘柄名称</stp>
        <tr r="B200" s="3"/>
      </tp>
      <tp t="s">
        <v>大阪瓦斯</v>
        <stp/>
        <stp>Market</stp>
        <stp>STOCK</stp>
        <stp>95320.T</stp>
        <stp>銘柄名称</stp>
        <tr r="B386" s="3"/>
      </tp>
      <tp t="s">
        <v>パンパシフィックＨＤ</v>
        <stp/>
        <stp>Market</stp>
        <stp>STOCK</stp>
        <stp>75320.T</stp>
        <stp>銘柄名称</stp>
        <tr r="B263" s="3"/>
      </tp>
      <tp t="s">
        <v>ベイカレント</v>
        <stp/>
        <stp>Market</stp>
        <stp>STOCK</stp>
        <stp>65320.T</stp>
        <stp>銘柄名称</stp>
        <tr r="B204" s="3"/>
      </tp>
      <tp t="s">
        <v>東京瓦斯</v>
        <stp/>
        <stp>Market</stp>
        <stp>STOCK</stp>
        <stp>95310.T</stp>
        <stp>銘柄名称</stp>
        <tr r="B385" s="3"/>
      </tp>
      <tp t="s">
        <v>宝ホールディングス</v>
        <stp/>
        <stp>Market</stp>
        <stp>STOCK</stp>
        <stp>25310.T</stp>
        <stp>銘柄名称</stp>
        <tr r="B41" s="3"/>
      </tp>
      <tp t="s">
        <v>小野薬品</v>
        <stp/>
        <stp>Market</stp>
        <stp>STOCK</stp>
        <stp>45280.T</stp>
        <stp>銘柄名称</stp>
        <tr r="B119" s="3"/>
      </tp>
      <tp t="s">
        <v>ロート製薬</v>
        <stp/>
        <stp>Market</stp>
        <stp>STOCK</stp>
        <stp>45270.T</stp>
        <stp>銘柄名称</stp>
        <tr r="B118" s="3"/>
      </tp>
      <tp t="s">
        <v>エーザイ</v>
        <stp/>
        <stp>Market</stp>
        <stp>STOCK</stp>
        <stp>45230.T</stp>
        <stp>銘柄名称</stp>
        <tr r="B117" s="3"/>
      </tp>
      <tp t="s">
        <v>ゼンショーホールディングス</v>
        <stp/>
        <stp>Market</stp>
        <stp>STOCK</stp>
        <stp>75500.T</stp>
        <stp>銘柄名称</stp>
        <tr r="B264" s="3"/>
      </tp>
      <tp t="s">
        <v>クスリのアオキＨＬＤＧＳ</v>
        <stp/>
        <stp>Market</stp>
        <stp>STOCK</stp>
        <stp>35490.T</stp>
        <stp>銘柄名称</stp>
        <tr r="B81" s="3"/>
      </tp>
    </main>
    <main first="rtdsrv.9a0e439d503c4134b124aa8a925fc5f1">
      <tp t="s">
        <v>ジャパンエレベーターＳＨＤ</v>
        <stp/>
        <stp>Market</stp>
        <stp>STOCK</stp>
        <stp>65440.T</stp>
        <stp>銘柄名称</stp>
        <tr r="B205" s="3"/>
      </tp>
      <tp t="s">
        <v>テルモ</v>
        <stp/>
        <stp>Market</stp>
        <stp>STOCK</stp>
        <stp>45430.T</stp>
        <stp>銘柄名称</stp>
        <tr r="B120" s="3"/>
      </tp>
      <tp t="s">
        <v>大塚ホールディングス</v>
        <stp/>
        <stp>Market</stp>
        <stp>STOCK</stp>
        <stp>45780.T</stp>
        <stp>銘柄名称</stp>
        <tr r="B122" s="3"/>
      </tp>
      <tp t="s">
        <v>アコム</v>
        <stp/>
        <stp>Market</stp>
        <stp>STOCK</stp>
        <stp>85720.T</stp>
        <stp>銘柄名称</stp>
        <tr r="B327" s="3"/>
      </tp>
      <tp t="s">
        <v>第一三共</v>
        <stp/>
        <stp>Market</stp>
        <stp>STOCK</stp>
        <stp>45680.T</stp>
        <stp>銘柄名称</stp>
        <tr r="B121" s="3"/>
      </tp>
      <tp t="s">
        <v>ワークマン</v>
        <stp/>
        <stp>Market</stp>
        <stp>STOCK</stp>
        <stp>75640.T</stp>
        <stp>銘柄名称</stp>
        <tr r="B265" s="3"/>
      </tp>
      <tp t="s">
        <v>ＦＯＯＤ＆ＬＩＦＥＣＯＭＰＡＮ</v>
        <stp/>
        <stp>Market</stp>
        <stp>STOCK</stp>
        <stp>35630.T</stp>
        <stp>銘柄名称</stp>
        <tr r="B82" s="3"/>
      </tp>
    </main>
    <main first="rtdsrv.9a0e439d503c4134b124aa8a925fc5f1">
      <tp t="s">
        <v>ＩＤＯＭ</v>
        <stp/>
        <stp>Market</stp>
        <stp>STOCK</stp>
        <stp>75990.T</stp>
        <stp>銘柄名称</stp>
        <tr r="B266" s="3"/>
      </tp>
    </main>
    <main first="rtdsrv.9a0e439d503c4134b124aa8a925fc5f1">
      <tp t="s">
        <v>三菱ＨＣキャピタル</v>
        <stp/>
        <stp>Market</stp>
        <stp>STOCK</stp>
        <stp>85930.T</stp>
        <stp>銘柄名称</stp>
        <tr r="B330" s="3"/>
      </tp>
      <tp t="s">
        <v>オリックス</v>
        <stp/>
        <stp>Market</stp>
        <stp>STOCK</stp>
        <stp>85910.T</stp>
        <stp>銘柄名称</stp>
        <tr r="B329" s="3"/>
      </tp>
      <tp t="s">
        <v>芝浦メカトロニクス</v>
        <stp/>
        <stp>Market</stp>
        <stp>STOCK</stp>
        <stp>65900.T</stp>
        <stp>銘柄名称</stp>
        <tr r="B207" s="3"/>
      </tp>
    </main>
    <main first="rtdsrv.9a0e439d503c4134b124aa8a925fc5f1">
      <tp t="s">
        <v>サントリー食品インター</v>
        <stp/>
        <stp>Market</stp>
        <stp>STOCK</stp>
        <stp>25870.T</stp>
        <stp>銘柄名称</stp>
        <tr r="B42" s="3"/>
      </tp>
      <tp t="s">
        <v>ペプチドリーム</v>
        <stp/>
        <stp>Market</stp>
        <stp>STOCK</stp>
        <stp>45870.T</stp>
        <stp>銘柄名称</stp>
        <tr r="B123" s="3"/>
      </tp>
      <tp t="s">
        <v>マキタ</v>
        <stp/>
        <stp>Market</stp>
        <stp>STOCK</stp>
        <stp>65860.T</stp>
        <stp>銘柄名称</stp>
        <tr r="B206" s="3"/>
      </tp>
      <tp t="s">
        <v>ジャックス</v>
        <stp/>
        <stp>Market</stp>
        <stp>STOCK</stp>
        <stp>85840.T</stp>
        <stp>銘柄名称</stp>
        <tr r="B328" s="3"/>
      </tp>
    </main>
    <main first="rtdsrv.9a0e439d503c4134b124aa8a925fc5f1">
      <tp t="s">
        <v>タマホーム</v>
        <stp/>
        <stp>Market</stp>
        <stp>STOCK</stp>
        <stp>14190.T</stp>
        <stp>銘柄名称</stp>
        <tr r="B4" s="3"/>
      </tp>
      <tp t="s">
        <v>ノジマ</v>
        <stp/>
        <stp>Market</stp>
        <stp>STOCK</stp>
        <stp>74190.T</stp>
        <stp>銘柄名称</stp>
        <tr r="B260" s="3"/>
      </tp>
      <tp t="s">
        <v>Ｕ－ＮＥＸＴＨＯＬＤＩＮＧＳ</v>
        <stp/>
        <stp>Market</stp>
        <stp>STOCK</stp>
        <stp>94180.T</stp>
        <stp>銘柄名称</stp>
        <tr r="B372" s="3"/>
      </tp>
      <tp t="s">
        <v>ＳＡＮＫＹＯ</v>
        <stp/>
        <stp>Market</stp>
        <stp>STOCK</stp>
        <stp>64170.T</stp>
        <stp>銘柄名称</stp>
        <tr r="B193" s="3"/>
      </tp>
      <tp t="s">
        <v>ショーボンドＨＤ</v>
        <stp/>
        <stp>Market</stp>
        <stp>STOCK</stp>
        <stp>14140.T</stp>
        <stp>銘柄名称</stp>
        <tr r="B3" s="3"/>
      </tp>
      <tp t="s">
        <v>エムスリー</v>
        <stp/>
        <stp>Market</stp>
        <stp>STOCK</stp>
        <stp>24130.T</stp>
        <stp>銘柄名称</stp>
        <tr r="B38" s="3"/>
      </tp>
      <tp t="s">
        <v>みずほフィナンシャルＧ</v>
        <stp/>
        <stp>Market</stp>
        <stp>STOCK</stp>
        <stp>84110.T</stp>
        <stp>銘柄名称</stp>
        <tr r="B321" s="3"/>
      </tp>
      <tp t="s">
        <v>ＪＦＥホールディングス</v>
        <stp/>
        <stp>Market</stp>
        <stp>STOCK</stp>
        <stp>54110.T</stp>
        <stp>銘柄名称</stp>
        <tr r="B160" s="3"/>
      </tp>
      <tp t="s">
        <v>セブン銀行</v>
        <stp/>
        <stp>Market</stp>
        <stp>STOCK</stp>
        <stp>84100.T</stp>
        <stp>銘柄名称</stp>
        <tr r="B320" s="3"/>
      </tp>
      <tp t="s">
        <v>神戸製鋼所</v>
        <stp/>
        <stp>Market</stp>
        <stp>STOCK</stp>
        <stp>54060.T</stp>
        <stp>銘柄名称</stp>
        <tr r="B159" s="3"/>
      </tp>
      <tp t="s">
        <v>クラレ</v>
        <stp/>
        <stp>Market</stp>
        <stp>STOCK</stp>
        <stp>34050.T</stp>
        <stp>銘柄名称</stp>
        <tr r="B78" s="3"/>
      </tp>
      <tp t="s">
        <v>日油</v>
        <stp/>
        <stp>Market</stp>
        <stp>STOCK</stp>
        <stp>44030.T</stp>
        <stp>銘柄名称</stp>
        <tr r="B111" s="3"/>
      </tp>
      <tp t="s">
        <v>東レ</v>
        <stp/>
        <stp>Market</stp>
        <stp>STOCK</stp>
        <stp>34020.T</stp>
        <stp>銘柄名称</stp>
        <tr r="B77" s="3"/>
      </tp>
      <tp t="s">
        <v>日本製鉄</v>
        <stp/>
        <stp>Market</stp>
        <stp>STOCK</stp>
        <stp>54010.T</stp>
        <stp>銘柄名称</stp>
        <tr r="B158" s="3"/>
      </tp>
      <tp t="s">
        <v>ＡＤＥＫＡ</v>
        <stp/>
        <stp>Market</stp>
        <stp>STOCK</stp>
        <stp>44010.T</stp>
        <stp>銘柄名称</stp>
        <tr r="B110" s="3"/>
      </tp>
      <tp t="s">
        <v>東京センチュリー</v>
        <stp/>
        <stp>Market</stp>
        <stp>STOCK</stp>
        <stp>84390.T</stp>
        <stp>銘柄名称</stp>
        <tr r="B324" s="3"/>
      </tp>
      <tp t="s">
        <v>ＳＵＭＣＯ</v>
        <stp/>
        <stp>Market</stp>
        <stp>STOCK</stp>
        <stp>34360.T</stp>
        <stp>銘柄名称</stp>
        <tr r="B79" s="3"/>
      </tp>
      <tp t="s">
        <v>アマノ</v>
        <stp/>
        <stp>Market</stp>
        <stp>STOCK</stp>
        <stp>64360.T</stp>
        <stp>銘柄名称</stp>
        <tr r="B195" s="3"/>
      </tp>
      <tp t="s">
        <v>光通信</v>
        <stp/>
        <stp>Market</stp>
        <stp>STOCK</stp>
        <stp>94350.T</stp>
        <stp>銘柄名称</stp>
        <tr r="B376" s="3"/>
      </tp>
      <tp t="s">
        <v>ソフトバンク</v>
        <stp/>
        <stp>Market</stp>
        <stp>STOCK</stp>
        <stp>94340.T</stp>
        <stp>銘柄名称</stp>
        <tr r="B375" s="3"/>
      </tp>
      <tp t="s">
        <v>ＫＤＤＩ</v>
        <stp/>
        <stp>Market</stp>
        <stp>STOCK</stp>
        <stp>94330.T</stp>
        <stp>銘柄名称</stp>
        <tr r="B374" s="3"/>
      </tp>
      <tp t="s">
        <v>ＮＴＴ</v>
        <stp/>
        <stp>Market</stp>
        <stp>STOCK</stp>
        <stp>94320.T</stp>
        <stp>銘柄名称</stp>
        <tr r="B373" s="3"/>
      </tp>
      <tp t="s">
        <v>竹内製作所</v>
        <stp/>
        <stp>Market</stp>
        <stp>STOCK</stp>
        <stp>64320.T</stp>
        <stp>銘柄名称</stp>
        <tr r="B194" s="3"/>
      </tp>
      <tp t="s">
        <v>みずほリース</v>
        <stp/>
        <stp>Market</stp>
        <stp>STOCK</stp>
        <stp>84250.T</stp>
        <stp>銘柄名称</stp>
        <tr r="B323" s="3"/>
      </tp>
      <tp t="s">
        <v>芙蓉総合リース</v>
        <stp/>
        <stp>Market</stp>
        <stp>STOCK</stp>
        <stp>84240.T</stp>
        <stp>銘柄名称</stp>
        <tr r="B322" s="3"/>
      </tp>
      <tp t="s">
        <v>東京製鐵</v>
        <stp/>
        <stp>Market</stp>
        <stp>STOCK</stp>
        <stp>54230.T</stp>
        <stp>銘柄名称</stp>
        <tr r="B161" s="3"/>
      </tp>
    </main>
    <main first="rtdsrv.9a0e439d503c4134b124aa8a925fc5f1">
      <tp t="s">
        <v>メディパルＨＤ</v>
        <stp/>
        <stp>Market</stp>
        <stp>STOCK</stp>
        <stp>74590.T</stp>
        <stp>銘柄名称</stp>
        <tr r="B262" s="3"/>
      </tp>
    </main>
    <main first="rtdsrv.9a0e439d503c4134b124aa8a925fc5f1">
      <tp t="s">
        <v>良品計画</v>
        <stp/>
        <stp>Market</stp>
        <stp>STOCK</stp>
        <stp>74530.T</stp>
        <stp>銘柄名称</stp>
        <tr r="B261" s="3"/>
      </tp>
      <tp t="s">
        <v>花王</v>
        <stp/>
        <stp>Market</stp>
        <stp>STOCK</stp>
        <stp>44520.T</stp>
        <stp>銘柄名称</stp>
        <tr r="B112" s="3"/>
      </tp>
    </main>
    <main first="rtdsrv.9a0e439d503c4134b124aa8a925fc5f1">
      <tp t="s">
        <v>ＧＭＯインターネットグループ</v>
        <stp/>
        <stp>Market</stp>
        <stp>STOCK</stp>
        <stp>94490.T</stp>
        <stp>銘柄名称</stp>
        <tr r="B377" s="3"/>
      </tp>
      <tp t="s">
        <v>ブラザー工業</v>
        <stp/>
        <stp>Market</stp>
        <stp>STOCK</stp>
        <stp>64480.T</stp>
        <stp>銘柄名称</stp>
        <tr r="B196" s="3"/>
      </tp>
      <tp t="s">
        <v>大和工業</v>
        <stp/>
        <stp>Market</stp>
        <stp>STOCK</stp>
        <stp>54440.T</stp>
        <stp>銘柄名称</stp>
        <tr r="B162" s="3"/>
      </tp>
      <tp t="s">
        <v>ミネベアミツミ</v>
        <stp/>
        <stp>Market</stp>
        <stp>STOCK</stp>
        <stp>64790.T</stp>
        <stp>銘柄名称</stp>
        <tr r="B199" s="3"/>
      </tp>
      <tp t="s">
        <v>ＳＢＩホールディングス</v>
        <stp/>
        <stp>Market</stp>
        <stp>STOCK</stp>
        <stp>84730.T</stp>
        <stp>銘柄名称</stp>
        <tr r="B325" s="3"/>
      </tp>
      <tp t="s">
        <v>大同特殊鋼</v>
        <stp/>
        <stp>Market</stp>
        <stp>STOCK</stp>
        <stp>54710.T</stp>
        <stp>銘柄名称</stp>
        <tr r="B163" s="3"/>
      </tp>
      <tp t="s">
        <v>ケイアイスター不動産</v>
        <stp/>
        <stp>Market</stp>
        <stp>STOCK</stp>
        <stp>34650.T</stp>
        <stp>銘柄名称</stp>
        <tr r="B80" s="3"/>
      </tp>
      <tp t="s">
        <v>ホシザキ</v>
        <stp/>
        <stp>Market</stp>
        <stp>STOCK</stp>
        <stp>64650.T</stp>
        <stp>銘柄名称</stp>
        <tr r="B198" s="3"/>
      </tp>
      <tp t="s">
        <v>セガサミーホールディングス</v>
        <stp/>
        <stp>Market</stp>
        <stp>STOCK</stp>
        <stp>64600.T</stp>
        <stp>銘柄名称</stp>
        <tr r="B197" s="3"/>
      </tp>
    </main>
    <main first="rtdsrv.9a0e439d503c4134b124aa8a925fc5f1">
      <tp t="s">
        <v>日本冶金工</v>
        <stp/>
        <stp>Market</stp>
        <stp>STOCK</stp>
        <stp>54800.T</stp>
        <stp>銘柄名称</stp>
        <tr r="B164" s="3"/>
      </tp>
    </main>
    <main first="rtdsrv.9a0e439d503c4134b124aa8a925fc5f1">
      <tp>
        <v>3655</v>
        <stp/>
        <stp>Market</stp>
        <stp>STOCK</stp>
        <stp>93020.T</stp>
        <stp>現在値</stp>
        <tr r="C371" s="3"/>
      </tp>
      <tp>
        <v>2910</v>
        <stp/>
        <stp>Market</stp>
        <stp>STOCK</stp>
        <stp>92010.T</stp>
        <stp>現在値</stp>
        <tr r="C369" s="3"/>
      </tp>
      <tp>
        <v>3000</v>
        <stp/>
        <stp>Market</stp>
        <stp>STOCK</stp>
        <stp>92020.T</stp>
        <stp>現在値</stp>
        <tr r="C370" s="3"/>
      </tp>
      <tp>
        <v>1545</v>
        <stp/>
        <stp>Market</stp>
        <stp>STOCK</stp>
        <stp>91190.T</stp>
        <stp>現在値</stp>
        <tr r="C365" s="3"/>
      </tp>
      <tp>
        <v>6730</v>
        <stp/>
        <stp>Market</stp>
        <stp>STOCK</stp>
        <stp>91100.T</stp>
        <stp>現在値</stp>
        <tr r="C364" s="3"/>
      </tp>
      <tp>
        <v>4981</v>
        <stp/>
        <stp>Market</stp>
        <stp>STOCK</stp>
        <stp>91010.T</stp>
        <stp>現在値</stp>
        <tr r="C361" s="3"/>
      </tp>
      <tp>
        <v>4736</v>
        <stp/>
        <stp>Market</stp>
        <stp>STOCK</stp>
        <stp>91040.T</stp>
        <stp>現在値</stp>
        <tr r="C362" s="3"/>
      </tp>
      <tp>
        <v>2201.5</v>
        <stp/>
        <stp>Market</stp>
        <stp>STOCK</stp>
        <stp>91070.T</stp>
        <stp>現在値</stp>
        <tr r="C363" s="3"/>
      </tp>
      <tp>
        <v>1495.5</v>
        <stp/>
        <stp>Market</stp>
        <stp>STOCK</stp>
        <stp>91430.T</stp>
        <stp>現在値</stp>
        <tr r="C367" s="3"/>
      </tp>
      <tp>
        <v>3956</v>
        <stp/>
        <stp>Market</stp>
        <stp>STOCK</stp>
        <stp>91420.T</stp>
        <stp>現在値</stp>
        <tr r="C366" s="3"/>
      </tp>
      <tp>
        <v>3440</v>
        <stp/>
        <stp>Market</stp>
        <stp>STOCK</stp>
        <stp>91470.T</stp>
        <stp>現在値</stp>
        <tr r="C368" s="3"/>
      </tp>
      <tp>
        <v>1243.5</v>
        <stp/>
        <stp>Market</stp>
        <stp>STOCK</stp>
        <stp>90090.T</stp>
        <stp>現在値</stp>
        <tr r="C352" s="3"/>
      </tp>
      <tp>
        <v>3884</v>
        <stp/>
        <stp>Market</stp>
        <stp>STOCK</stp>
        <stp>90080.T</stp>
        <stp>現在値</stp>
        <tr r="C351" s="3"/>
      </tp>
      <tp>
        <v>1736</v>
        <stp/>
        <stp>Market</stp>
        <stp>STOCK</stp>
        <stp>90050.T</stp>
        <stp>現在値</stp>
        <tr r="C348" s="3"/>
      </tp>
      <tp>
        <v>1674.5</v>
        <stp/>
        <stp>Market</stp>
        <stp>STOCK</stp>
        <stp>90070.T</stp>
        <stp>現在値</stp>
        <tr r="C350" s="3"/>
      </tp>
      <tp>
        <v>1528</v>
        <stp/>
        <stp>Market</stp>
        <stp>STOCK</stp>
        <stp>90060.T</stp>
        <stp>現在値</stp>
        <tr r="C349" s="3"/>
      </tp>
      <tp>
        <v>3122</v>
        <stp/>
        <stp>Market</stp>
        <stp>STOCK</stp>
        <stp>90210.T</stp>
        <stp>現在値</stp>
        <tr r="C353" s="3"/>
      </tp>
      <tp>
        <v>4264</v>
        <stp/>
        <stp>Market</stp>
        <stp>STOCK</stp>
        <stp>90220.T</stp>
        <stp>現在値</stp>
        <tr r="C354" s="3"/>
      </tp>
      <tp>
        <v>4059</v>
        <stp/>
        <stp>Market</stp>
        <stp>STOCK</stp>
        <stp>90240.T</stp>
        <stp>現在値</stp>
        <tr r="C355" s="3"/>
      </tp>
      <tp>
        <v>3201</v>
        <stp/>
        <stp>Market</stp>
        <stp>STOCK</stp>
        <stp>90410.T</stp>
        <stp>現在値</stp>
        <tr r="C356" s="3"/>
      </tp>
      <tp>
        <v>1998.5</v>
        <stp/>
        <stp>Market</stp>
        <stp>STOCK</stp>
        <stp>90690.T</stp>
        <stp>現在値</stp>
        <tr r="C359" s="3"/>
      </tp>
      <tp>
        <v>9054</v>
        <stp/>
        <stp>Market</stp>
        <stp>STOCK</stp>
        <stp>90650.T</stp>
        <stp>現在値</stp>
        <tr r="C358" s="3"/>
      </tp>
      <tp>
        <v>2043</v>
        <stp/>
        <stp>Market</stp>
        <stp>STOCK</stp>
        <stp>90640.T</stp>
        <stp>現在値</stp>
        <tr r="C357" s="3"/>
      </tp>
      <tp>
        <v>990</v>
        <stp/>
        <stp>Market</stp>
        <stp>STOCK</stp>
        <stp>90900.T</stp>
        <stp>現在値</stp>
        <tr r="C360" s="3"/>
      </tp>
      <tp>
        <v>5659</v>
        <stp/>
        <stp>Market</stp>
        <stp>STOCK</stp>
        <stp>97190.T</stp>
        <stp>現在値</stp>
        <tr r="C390" s="3"/>
      </tp>
      <tp>
        <v>5775</v>
        <stp/>
        <stp>Market</stp>
        <stp>STOCK</stp>
        <stp>97350.T</stp>
        <stp>現在値</stp>
        <tr r="C391" s="3"/>
      </tp>
      <tp>
        <v>3352</v>
        <stp/>
        <stp>Market</stp>
        <stp>STOCK</stp>
        <stp>97590.T</stp>
        <stp>現在値</stp>
        <tr r="C393" s="3"/>
      </tp>
      <tp>
        <v>3612</v>
        <stp/>
        <stp>Market</stp>
        <stp>STOCK</stp>
        <stp>97440.T</stp>
        <stp>現在値</stp>
        <tr r="C392" s="3"/>
      </tp>
      <tp>
        <v>20910</v>
        <stp/>
        <stp>Market</stp>
        <stp>STOCK</stp>
        <stp>97660.T</stp>
        <stp>現在値</stp>
        <tr r="C394" s="3"/>
      </tp>
      <tp>
        <v>7975</v>
        <stp/>
        <stp>Market</stp>
        <stp>STOCK</stp>
        <stp>96020.T</stp>
        <stp>現在値</stp>
        <tr r="C387" s="3"/>
      </tp>
      <tp>
        <v>3555</v>
        <stp/>
        <stp>Market</stp>
        <stp>STOCK</stp>
        <stp>96970.T</stp>
        <stp>現在値</stp>
        <tr r="C389" s="3"/>
      </tp>
      <tp>
        <v>2725</v>
        <stp/>
        <stp>Market</stp>
        <stp>STOCK</stp>
        <stp>96840.T</stp>
        <stp>現在値</stp>
        <tr r="C388" s="3"/>
      </tp>
      <tp>
        <v>3257</v>
        <stp/>
        <stp>Market</stp>
        <stp>STOCK</stp>
        <stp>95130.T</stp>
        <stp>現在値</stp>
        <tr r="C384" s="3"/>
      </tp>
      <tp>
        <v>1058</v>
        <stp/>
        <stp>Market</stp>
        <stp>STOCK</stp>
        <stp>95090.T</stp>
        <stp>現在値</stp>
        <tr r="C383" s="3"/>
      </tp>
      <tp>
        <v>1676.5</v>
        <stp/>
        <stp>Market</stp>
        <stp>STOCK</stp>
        <stp>95080.T</stp>
        <stp>現在値</stp>
        <tr r="C382" s="3"/>
      </tp>
      <tp>
        <v>2446</v>
        <stp/>
        <stp>Market</stp>
        <stp>STOCK</stp>
        <stp>95030.T</stp>
        <stp>現在値</stp>
        <tr r="C379" s="3"/>
      </tp>
      <tp>
        <v>2208</v>
        <stp/>
        <stp>Market</stp>
        <stp>STOCK</stp>
        <stp>95020.T</stp>
        <stp>現在値</stp>
        <tr r="C378" s="3"/>
      </tp>
      <tp>
        <v>1532.5</v>
        <stp/>
        <stp>Market</stp>
        <stp>STOCK</stp>
        <stp>95070.T</stp>
        <stp>現在値</stp>
        <tr r="C381" s="3"/>
      </tp>
      <tp>
        <v>1114</v>
        <stp/>
        <stp>Market</stp>
        <stp>STOCK</stp>
        <stp>95060.T</stp>
        <stp>現在値</stp>
        <tr r="C380" s="3"/>
      </tp>
      <tp>
        <v>6584</v>
        <stp/>
        <stp>Market</stp>
        <stp>STOCK</stp>
        <stp>95310.T</stp>
        <stp>現在値</stp>
        <tr r="C385" s="3"/>
      </tp>
      <tp>
        <v>5732</v>
        <stp/>
        <stp>Market</stp>
        <stp>STOCK</stp>
        <stp>95320.T</stp>
        <stp>現在値</stp>
        <tr r="C386" s="3"/>
      </tp>
      <tp>
        <v>1888</v>
        <stp/>
        <stp>Market</stp>
        <stp>STOCK</stp>
        <stp>94180.T</stp>
        <stp>現在値</stp>
        <tr r="C372" s="3"/>
      </tp>
      <tp>
        <v>2618.5</v>
        <stp/>
        <stp>Market</stp>
        <stp>STOCK</stp>
        <stp>94330.T</stp>
        <stp>現在値</stp>
        <tr r="C374" s="3"/>
      </tp>
      <tp>
        <v>155.19999999999999</v>
        <stp/>
        <stp>Market</stp>
        <stp>STOCK</stp>
        <stp>94320.T</stp>
        <stp>現在値</stp>
        <tr r="C373" s="3"/>
      </tp>
      <tp>
        <v>43390</v>
        <stp/>
        <stp>Market</stp>
        <stp>STOCK</stp>
        <stp>94350.T</stp>
        <stp>現在値</stp>
        <tr r="C376" s="3"/>
      </tp>
      <tp>
        <v>211.5</v>
        <stp/>
        <stp>Market</stp>
        <stp>STOCK</stp>
        <stp>94340.T</stp>
        <stp>現在値</stp>
        <tr r="C375" s="3"/>
      </tp>
      <tp>
        <v>3933</v>
        <stp/>
        <stp>Market</stp>
        <stp>STOCK</stp>
        <stp>94490.T</stp>
        <stp>現在値</stp>
        <tr r="C377" s="3"/>
      </tp>
      <tp>
        <v>2551</v>
        <stp/>
        <stp>Market</stp>
        <stp>STOCK</stp>
        <stp>99620.T</stp>
        <stp>現在値</stp>
        <tr r="C396" s="3"/>
      </tp>
      <tp>
        <v>4183</v>
        <stp/>
        <stp>Market</stp>
        <stp>STOCK</stp>
        <stp>99890.T</stp>
        <stp>現在値</stp>
        <tr r="C399" s="3"/>
      </tp>
      <tp>
        <v>59170</v>
        <stp/>
        <stp>Market</stp>
        <stp>STOCK</stp>
        <stp>99830.T</stp>
        <stp>現在値</stp>
        <tr r="C397" s="3"/>
      </tp>
      <tp>
        <v>4051</v>
        <stp/>
        <stp>Market</stp>
        <stp>STOCK</stp>
        <stp>99840.T</stp>
        <stp>現在値</stp>
        <tr r="C398" s="3"/>
      </tp>
      <tp>
        <v>2679</v>
        <stp/>
        <stp>Market</stp>
        <stp>STOCK</stp>
        <stp>98430.T</stp>
        <stp>現在値</stp>
        <tr r="C395" s="3"/>
      </tp>
      <tp>
        <v>5430</v>
        <stp/>
        <stp>Market</stp>
        <stp>STOCK</stp>
        <stp>83160.T</stp>
        <stp>現在値</stp>
        <tr r="C317" s="3"/>
      </tp>
      <tp>
        <v>5018</v>
        <stp/>
        <stp>Market</stp>
        <stp>STOCK</stp>
        <stp>83090.T</stp>
        <stp>現在値</stp>
        <tr r="C316" s="3"/>
      </tp>
      <tp>
        <v>1791.5</v>
        <stp/>
        <stp>Market</stp>
        <stp>STOCK</stp>
        <stp>83080.T</stp>
        <stp>現在値</stp>
        <tr r="C315" s="3"/>
      </tp>
      <tp>
        <v>2771.5</v>
        <stp/>
        <stp>Market</stp>
        <stp>STOCK</stp>
        <stp>83060.T</stp>
        <stp>現在値</stp>
        <tr r="C314" s="3"/>
      </tp>
      <tp>
        <v>2049</v>
        <stp/>
        <stp>Market</stp>
        <stp>STOCK</stp>
        <stp>83310.T</stp>
        <stp>現在値</stp>
        <tr r="C318" s="3"/>
      </tp>
      <tp>
        <v>5529</v>
        <stp/>
        <stp>Market</stp>
        <stp>STOCK</stp>
        <stp>83540.T</stp>
        <stp>現在値</stp>
        <tr r="C319" s="3"/>
      </tp>
      <tp>
        <v>10520</v>
        <stp/>
        <stp>Market</stp>
        <stp>STOCK</stp>
        <stp>82270.T</stp>
        <stp>現在値</stp>
        <tr r="C311" s="3"/>
      </tp>
      <tp>
        <v>4133</v>
        <stp/>
        <stp>Market</stp>
        <stp>STOCK</stp>
        <stp>82530.T</stp>
        <stp>現在値</stp>
        <tr r="C313" s="3"/>
      </tp>
      <tp>
        <v>3021</v>
        <stp/>
        <stp>Market</stp>
        <stp>STOCK</stp>
        <stp>82520.T</stp>
        <stp>現在値</stp>
        <tr r="C312" s="3"/>
      </tp>
      <tp>
        <v>2524.5</v>
        <stp/>
        <stp>Market</stp>
        <stp>STOCK</stp>
        <stp>81110.T</stp>
        <stp>現在値</stp>
        <tr r="C303" s="3"/>
      </tp>
      <tp>
        <v>937.3</v>
        <stp/>
        <stp>Market</stp>
        <stp>STOCK</stp>
        <stp>81130.T</stp>
        <stp>現在値</stp>
        <tr r="C304" s="3"/>
      </tp>
      <tp>
        <v>3180</v>
        <stp/>
        <stp>Market</stp>
        <stp>STOCK</stp>
        <stp>81300.T</stp>
        <stp>現在値</stp>
        <tr r="C305" s="3"/>
      </tp>
      <tp>
        <v>1993</v>
        <stp/>
        <stp>Market</stp>
        <stp>STOCK</stp>
        <stp>81330.T</stp>
        <stp>現在値</stp>
        <tr r="C306" s="3"/>
      </tp>
      <tp>
        <v>4842</v>
        <stp/>
        <stp>Market</stp>
        <stp>STOCK</stp>
        <stp>81360.T</stp>
        <stp>現在値</stp>
        <tr r="C307" s="3"/>
      </tp>
      <tp>
        <v>3870</v>
        <stp/>
        <stp>Market</stp>
        <stp>STOCK</stp>
        <stp>81540.T</stp>
        <stp>現在値</stp>
        <tr r="C308" s="3"/>
      </tp>
      <tp>
        <v>2968</v>
        <stp/>
        <stp>Market</stp>
        <stp>STOCK</stp>
        <stp>81740.T</stp>
        <stp>現在値</stp>
        <tr r="C309" s="3"/>
      </tp>
      <tp>
        <v>2582</v>
        <stp/>
        <stp>Market</stp>
        <stp>STOCK</stp>
        <stp>81940.T</stp>
        <stp>現在値</stp>
        <tr r="C310" s="3"/>
      </tp>
      <tp>
        <v>5657</v>
        <stp/>
        <stp>Market</stp>
        <stp>STOCK</stp>
        <stp>80150.T</stp>
        <stp>現在値</stp>
        <tr r="C292" s="3"/>
      </tp>
      <tp>
        <v>1973</v>
        <stp/>
        <stp>Market</stp>
        <stp>STOCK</stp>
        <stp>80010.T</stp>
        <stp>現在値</stp>
        <tr r="C290" s="3"/>
      </tp>
      <tp>
        <v>5076</v>
        <stp/>
        <stp>Market</stp>
        <stp>STOCK</stp>
        <stp>80020.T</stp>
        <stp>現在値</stp>
        <tr r="C291" s="3"/>
      </tp>
      <tp>
        <v>5016</v>
        <stp/>
        <stp>Market</stp>
        <stp>STOCK</stp>
        <stp>80310.T</stp>
        <stp>現在値</stp>
        <tr r="C294" s="3"/>
      </tp>
      <tp>
        <v>42130</v>
        <stp/>
        <stp>Market</stp>
        <stp>STOCK</stp>
        <stp>80350.T</stp>
        <stp>現在値</stp>
        <tr r="C295" s="3"/>
      </tp>
      <tp>
        <v>2020</v>
        <stp/>
        <stp>Market</stp>
        <stp>STOCK</stp>
        <stp>80200.T</stp>
        <stp>現在値</stp>
        <tr r="C293" s="3"/>
      </tp>
      <tp>
        <v>4008</v>
        <stp/>
        <stp>Market</stp>
        <stp>STOCK</stp>
        <stp>80580.T</stp>
        <stp>現在値</stp>
        <tr r="C298" s="3"/>
      </tp>
      <tp>
        <v>6230</v>
        <stp/>
        <stp>Market</stp>
        <stp>STOCK</stp>
        <stp>80530.T</stp>
        <stp>現在値</stp>
        <tr r="C296" s="3"/>
      </tp>
      <tp>
        <v>5249</v>
        <stp/>
        <stp>Market</stp>
        <stp>STOCK</stp>
        <stp>80560.T</stp>
        <stp>現在値</stp>
        <tr r="C297" s="3"/>
      </tp>
      <tp>
        <v>7890</v>
        <stp/>
        <stp>Market</stp>
        <stp>STOCK</stp>
        <stp>80780.T</stp>
        <stp>現在値</stp>
        <tr r="C300" s="3"/>
      </tp>
      <tp>
        <v>6760</v>
        <stp/>
        <stp>Market</stp>
        <stp>STOCK</stp>
        <stp>80600.T</stp>
        <stp>現在値</stp>
        <tr r="C299" s="3"/>
      </tp>
      <tp>
        <v>3945</v>
        <stp/>
        <stp>Market</stp>
        <stp>STOCK</stp>
        <stp>80980.T</stp>
        <stp>現在値</stp>
        <tr r="C302" s="3"/>
      </tp>
      <tp>
        <v>1801</v>
        <stp/>
        <stp>Market</stp>
        <stp>STOCK</stp>
        <stp>80880.T</stp>
        <stp>現在値</stp>
        <tr r="C301" s="3"/>
      </tp>
      <tp>
        <v>153.4</v>
        <stp/>
        <stp>Market</stp>
        <stp>STOCK</stp>
        <stp>87290.T</stp>
        <stp>現在値</stp>
        <tr r="C336" s="3"/>
      </tp>
      <tp>
        <v>3919</v>
        <stp/>
        <stp>Market</stp>
        <stp>STOCK</stp>
        <stp>87250.T</stp>
        <stp>現在値</stp>
        <tr r="C335" s="3"/>
      </tp>
      <tp>
        <v>1329</v>
        <stp/>
        <stp>Market</stp>
        <stp>STOCK</stp>
        <stp>87500.T</stp>
        <stp>現在値</stp>
        <tr r="C337" s="3"/>
      </tp>
      <tp>
        <v>5638</v>
        <stp/>
        <stp>Market</stp>
        <stp>STOCK</stp>
        <stp>87660.T</stp>
        <stp>現在値</stp>
        <tr r="C338" s="3"/>
      </tp>
      <tp>
        <v>1495.5</v>
        <stp/>
        <stp>Market</stp>
        <stp>STOCK</stp>
        <stp>86010.T</stp>
        <stp>現在値</stp>
        <tr r="C331" s="3"/>
      </tp>
      <tp>
        <v>1391</v>
        <stp/>
        <stp>Market</stp>
        <stp>STOCK</stp>
        <stp>86040.T</stp>
        <stp>現在値</stp>
        <tr r="C332" s="3"/>
      </tp>
      <tp>
        <v>5330</v>
        <stp/>
        <stp>Market</stp>
        <stp>STOCK</stp>
        <stp>86300.T</stp>
        <stp>現在値</stp>
        <tr r="C333" s="3"/>
      </tp>
      <tp>
        <v>1735.5</v>
        <stp/>
        <stp>Market</stp>
        <stp>STOCK</stp>
        <stp>86970.T</stp>
        <stp>現在値</stp>
        <tr r="C334" s="3"/>
      </tp>
      <tp>
        <v>556</v>
        <stp/>
        <stp>Market</stp>
        <stp>STOCK</stp>
        <stp>85150.T</stp>
        <stp>現在値</stp>
        <tr r="C326" s="3"/>
      </tp>
      <tp>
        <v>514.6</v>
        <stp/>
        <stp>Market</stp>
        <stp>STOCK</stp>
        <stp>85720.T</stp>
        <stp>現在値</stp>
        <tr r="C327" s="3"/>
      </tp>
      <tp>
        <v>4654</v>
        <stp/>
        <stp>Market</stp>
        <stp>STOCK</stp>
        <stp>85910.T</stp>
        <stp>現在値</stp>
        <tr r="C329" s="3"/>
      </tp>
      <tp>
        <v>1330.5</v>
        <stp/>
        <stp>Market</stp>
        <stp>STOCK</stp>
        <stp>85930.T</stp>
        <stp>現在値</stp>
        <tr r="C330" s="3"/>
      </tp>
      <tp>
        <v>4240</v>
        <stp/>
        <stp>Market</stp>
        <stp>STOCK</stp>
        <stp>85840.T</stp>
        <stp>現在値</stp>
        <tr r="C328" s="3"/>
      </tp>
      <tp>
        <v>6582</v>
        <stp/>
        <stp>Market</stp>
        <stp>STOCK</stp>
        <stp>84110.T</stp>
        <stp>現在値</stp>
        <tr r="C321" s="3"/>
      </tp>
      <tp>
        <v>295.89999999999998</v>
        <stp/>
        <stp>Market</stp>
        <stp>STOCK</stp>
        <stp>84100.T</stp>
        <stp>現在値</stp>
        <tr r="C320" s="3"/>
      </tp>
      <tp>
        <v>2154</v>
        <stp/>
        <stp>Market</stp>
        <stp>STOCK</stp>
        <stp>84390.T</stp>
        <stp>現在値</stp>
        <tr r="C324" s="3"/>
      </tp>
      <tp>
        <v>1436</v>
        <stp/>
        <stp>Market</stp>
        <stp>STOCK</stp>
        <stp>84250.T</stp>
        <stp>現在値</stp>
        <tr r="C323" s="3"/>
      </tp>
      <tp>
        <v>4380</v>
        <stp/>
        <stp>Market</stp>
        <stp>STOCK</stp>
        <stp>84240.T</stp>
        <stp>現在値</stp>
        <tr r="C322" s="3"/>
      </tp>
      <tp>
        <v>3526</v>
        <stp/>
        <stp>Market</stp>
        <stp>STOCK</stp>
        <stp>84730.T</stp>
        <stp>現在値</stp>
        <tr r="C325" s="3"/>
      </tp>
      <tp>
        <v>3125</v>
        <stp/>
        <stp>Market</stp>
        <stp>STOCK</stp>
        <stp>89190.T</stp>
        <stp>現在値</stp>
        <tr r="C346" s="3"/>
      </tp>
      <tp>
        <v>1580</v>
        <stp/>
        <stp>Market</stp>
        <stp>STOCK</stp>
        <stp>89230.T</stp>
        <stp>現在値</stp>
        <tr r="C347" s="3"/>
      </tp>
      <tp>
        <v>1739</v>
        <stp/>
        <stp>Market</stp>
        <stp>STOCK</stp>
        <stp>88010.T</stp>
        <stp>現在値</stp>
        <tr r="C339" s="3"/>
      </tp>
      <tp>
        <v>3879</v>
        <stp/>
        <stp>Market</stp>
        <stp>STOCK</stp>
        <stp>88020.T</stp>
        <stp>現在値</stp>
        <tr r="C340" s="3"/>
      </tp>
      <tp>
        <v>3625</v>
        <stp/>
        <stp>Market</stp>
        <stp>STOCK</stp>
        <stp>88040.T</stp>
        <stp>現在値</stp>
        <tr r="C341" s="3"/>
      </tp>
      <tp>
        <v>4241</v>
        <stp/>
        <stp>Market</stp>
        <stp>STOCK</stp>
        <stp>88300.T</stp>
        <stp>現在値</stp>
        <tr r="C342" s="3"/>
      </tp>
      <tp>
        <v>4850</v>
        <stp/>
        <stp>Market</stp>
        <stp>STOCK</stp>
        <stp>88500.T</stp>
        <stp>現在値</stp>
        <tr r="C344" s="3"/>
      </tp>
      <tp>
        <v>690</v>
        <stp/>
        <stp>Market</stp>
        <stp>STOCK</stp>
        <stp>88480.T</stp>
        <stp>現在値</stp>
        <tr r="C343" s="3"/>
      </tp>
      <tp>
        <v>1779</v>
        <stp/>
        <stp>Market</stp>
        <stp>STOCK</stp>
        <stp>88760.T</stp>
        <stp>現在値</stp>
        <tr r="C345" s="3"/>
      </tp>
      <tp>
        <v>3786</v>
        <stp/>
        <stp>Market</stp>
        <stp>STOCK</stp>
        <stp>53330.T</stp>
        <stp>現在値</stp>
        <tr r="C154" s="3"/>
      </tp>
      <tp>
        <v>5212</v>
        <stp/>
        <stp>Market</stp>
        <stp>STOCK</stp>
        <stp>53320.T</stp>
        <stp>現在値</stp>
        <tr r="C153" s="3"/>
      </tp>
      <tp>
        <v>7022</v>
        <stp/>
        <stp>Market</stp>
        <stp>STOCK</stp>
        <stp>53340.T</stp>
        <stp>現在値</stp>
        <tr r="C155" s="3"/>
      </tp>
      <tp>
        <v>49130</v>
        <stp/>
        <stp>Market</stp>
        <stp>STOCK</stp>
        <stp>53440.T</stp>
        <stp>現在値</stp>
        <tr r="C156" s="3"/>
      </tp>
      <tp>
        <v>7961</v>
        <stp/>
        <stp>Market</stp>
        <stp>STOCK</stp>
        <stp>53930.T</stp>
        <stp>現在値</stp>
        <tr r="C157" s="3"/>
      </tp>
      <tp>
        <v>3497</v>
        <stp/>
        <stp>Market</stp>
        <stp>STOCK</stp>
        <stp>51080.T</stp>
        <stp>現在値</stp>
        <tr r="C152" s="3"/>
      </tp>
      <tp>
        <v>6185</v>
        <stp/>
        <stp>Market</stp>
        <stp>STOCK</stp>
        <stp>51010.T</stp>
        <stp>現在値</stp>
        <tr r="C150" s="3"/>
      </tp>
      <tp>
        <v>4233</v>
        <stp/>
        <stp>Market</stp>
        <stp>STOCK</stp>
        <stp>51050.T</stp>
        <stp>現在値</stp>
        <tr r="C151" s="3"/>
      </tp>
      <tp>
        <v>1280</v>
        <stp/>
        <stp>Market</stp>
        <stp>STOCK</stp>
        <stp>50190.T</stp>
        <stp>現在値</stp>
        <tr r="C145" s="3"/>
      </tp>
      <tp>
        <v>4485</v>
        <stp/>
        <stp>Market</stp>
        <stp>STOCK</stp>
        <stp>50320.T</stp>
        <stp>現在値</stp>
        <tr r="C148" s="3"/>
      </tp>
      <tp>
        <v>4525</v>
        <stp/>
        <stp>Market</stp>
        <stp>STOCK</stp>
        <stp>50210.T</stp>
        <stp>現在値</stp>
        <tr r="C147" s="3"/>
      </tp>
      <tp>
        <v>1244</v>
        <stp/>
        <stp>Market</stp>
        <stp>STOCK</stp>
        <stp>50200.T</stp>
        <stp>現在値</stp>
        <tr r="C146" s="3"/>
      </tp>
      <tp>
        <v>2327</v>
        <stp/>
        <stp>Market</stp>
        <stp>STOCK</stp>
        <stp>50760.T</stp>
        <stp>現在値</stp>
        <tr r="C149" s="3"/>
      </tp>
      <tp>
        <v>8788</v>
        <stp/>
        <stp>Market</stp>
        <stp>STOCK</stp>
        <stp>57130.T</stp>
        <stp>現在値</stp>
        <tr r="C166" s="3"/>
      </tp>
      <tp>
        <v>9315</v>
        <stp/>
        <stp>Market</stp>
        <stp>STOCK</stp>
        <stp>57140.T</stp>
        <stp>現在値</stp>
        <tr r="C167" s="3"/>
      </tp>
      <tp>
        <v>21900</v>
        <stp/>
        <stp>Market</stp>
        <stp>STOCK</stp>
        <stp>57060.T</stp>
        <stp>現在値</stp>
        <tr r="C165" s="3"/>
      </tp>
    </main>
    <main first="rtdsrv.9a0e439d503c4134b124aa8a925fc5f1">
      <tp>
        <v>2116.5</v>
        <stp/>
        <stp>Market</stp>
        <stp>STOCK</stp>
        <stp>54110.T</stp>
        <stp>現在値</stp>
        <tr r="C160" s="3"/>
      </tp>
      <tp>
        <v>647.79999999999995</v>
        <stp/>
        <stp>Market</stp>
        <stp>STOCK</stp>
        <stp>54010.T</stp>
        <stp>現在値</stp>
        <tr r="C158" s="3"/>
      </tp>
      <tp>
        <v>2262</v>
        <stp/>
        <stp>Market</stp>
        <stp>STOCK</stp>
        <stp>54060.T</stp>
        <stp>現在値</stp>
        <tr r="C159" s="3"/>
      </tp>
      <tp>
        <v>1517</v>
        <stp/>
        <stp>Market</stp>
        <stp>STOCK</stp>
        <stp>54230.T</stp>
        <stp>現在値</stp>
        <tr r="C161" s="3"/>
      </tp>
      <tp>
        <v>11585</v>
        <stp/>
        <stp>Market</stp>
        <stp>STOCK</stp>
        <stp>54440.T</stp>
        <stp>現在値</stp>
        <tr r="C162" s="3"/>
      </tp>
      <tp>
        <v>2010</v>
        <stp/>
        <stp>Market</stp>
        <stp>STOCK</stp>
        <stp>54710.T</stp>
        <stp>現在値</stp>
        <tr r="C163" s="3"/>
      </tp>
    </main>
    <main first="rtdsrv.9a0e439d503c4134b124aa8a925fc5f1">
      <tp>
        <v>4805</v>
        <stp/>
        <stp>Market</stp>
        <stp>STOCK</stp>
        <stp>54800.T</stp>
        <stp>現在値</stp>
        <tr r="C164" s="3"/>
      </tp>
    </main>
    <main first="rtdsrv.9a0e439d503c4134b124aa8a925fc5f1">
      <tp>
        <v>4044</v>
        <stp/>
        <stp>Market</stp>
        <stp>STOCK</stp>
        <stp>59290.T</stp>
        <stp>現在値</stp>
        <tr r="C172" s="3"/>
      </tp>
      <tp>
        <v>4067</v>
        <stp/>
        <stp>Market</stp>
        <stp>STOCK</stp>
        <stp>59470.T</stp>
        <stp>現在値</stp>
        <tr r="C173" s="3"/>
      </tp>
      <tp>
        <v>2682</v>
        <stp/>
        <stp>Market</stp>
        <stp>STOCK</stp>
        <stp>59910.T</stp>
        <stp>現在値</stp>
        <tr r="C174" s="3"/>
      </tp>
    </main>
    <main first="rtdsrv.9a0e439d503c4134b124aa8a925fc5f1">
      <tp>
        <v>18370</v>
        <stp/>
        <stp>Market</stp>
        <stp>STOCK</stp>
        <stp>58030.T</stp>
        <stp>現在値</stp>
        <tr r="C169" s="3"/>
      </tp>
      <tp>
        <v>6679</v>
        <stp/>
        <stp>Market</stp>
        <stp>STOCK</stp>
        <stp>58020.T</stp>
        <stp>現在値</stp>
        <tr r="C168" s="3"/>
      </tp>
      <tp>
        <v>11510</v>
        <stp/>
        <stp>Market</stp>
        <stp>STOCK</stp>
        <stp>58050.T</stp>
        <stp>現在値</stp>
        <tr r="C170" s="3"/>
      </tp>
      <tp>
        <v>3820</v>
        <stp/>
        <stp>Market</stp>
        <stp>STOCK</stp>
        <stp>58570.T</stp>
        <stp>現在値</stp>
        <tr r="C171" s="3"/>
      </tp>
    </main>
    <main first="rtdsrv.9a0e439d503c4134b124aa8a925fc5f1">
      <tp>
        <v>5839</v>
        <stp/>
        <stp>Market</stp>
        <stp>STOCK</stp>
        <stp>43070.T</stp>
        <stp>現在値</stp>
        <tr r="C108" s="3"/>
      </tp>
      <tp>
        <v>3319</v>
        <stp/>
        <stp>Market</stp>
        <stp>STOCK</stp>
        <stp>43850.T</stp>
        <stp>現在値</stp>
        <tr r="C109" s="3"/>
      </tp>
      <tp>
        <v>5523</v>
        <stp/>
        <stp>Market</stp>
        <stp>STOCK</stp>
        <stp>42030.T</stp>
        <stp>現在値</stp>
        <tr r="C106" s="3"/>
      </tp>
      <tp>
        <v>1464.5</v>
        <stp/>
        <stp>Market</stp>
        <stp>STOCK</stp>
        <stp>42020.T</stp>
        <stp>現在値</stp>
        <tr r="C105" s="3"/>
      </tp>
      <tp>
        <v>2777</v>
        <stp/>
        <stp>Market</stp>
        <stp>STOCK</stp>
        <stp>42040.T</stp>
        <stp>現在値</stp>
        <tr r="C107" s="3"/>
      </tp>
      <tp>
        <v>2606.5</v>
        <stp/>
        <stp>Market</stp>
        <stp>STOCK</stp>
        <stp>41510.T</stp>
        <stp>現在値</stp>
        <tr r="C99" s="3"/>
      </tp>
      <tp>
        <v>8680</v>
        <stp/>
        <stp>Market</stp>
        <stp>STOCK</stp>
        <stp>41940.T</stp>
        <stp>現在値</stp>
        <tr r="C104" s="3"/>
      </tp>
      <tp>
        <v>1004</v>
        <stp/>
        <stp>Market</stp>
        <stp>STOCK</stp>
        <stp>41880.T</stp>
        <stp>現在値</stp>
        <tr r="C103" s="3"/>
      </tp>
      <tp>
        <v>2251</v>
        <stp/>
        <stp>Market</stp>
        <stp>STOCK</stp>
        <stp>41830.T</stp>
        <stp>現在値</stp>
        <tr r="C101" s="3"/>
      </tp>
      <tp>
        <v>3100</v>
        <stp/>
        <stp>Market</stp>
        <stp>STOCK</stp>
        <stp>41820.T</stp>
        <stp>現在値</stp>
        <tr r="C100" s="3"/>
      </tp>
      <tp>
        <v>6818</v>
        <stp/>
        <stp>Market</stp>
        <stp>STOCK</stp>
        <stp>41860.T</stp>
        <stp>現在値</stp>
        <tr r="C102" s="3"/>
      </tp>
      <tp>
        <v>8576</v>
        <stp/>
        <stp>Market</stp>
        <stp>STOCK</stp>
        <stp>40040.T</stp>
        <stp>現在値</stp>
        <tr r="C92" s="3"/>
      </tp>
      <tp>
        <v>5334</v>
        <stp/>
        <stp>Market</stp>
        <stp>STOCK</stp>
        <stp>40210.T</stp>
        <stp>現在値</stp>
        <tr r="C93" s="3"/>
      </tp>
      <tp>
        <v>2536</v>
        <stp/>
        <stp>Market</stp>
        <stp>STOCK</stp>
        <stp>40420.T</stp>
        <stp>現在値</stp>
        <tr r="C94" s="3"/>
      </tp>
      <tp>
        <v>5476</v>
        <stp/>
        <stp>Market</stp>
        <stp>STOCK</stp>
        <stp>40630.T</stp>
        <stp>現在値</stp>
        <tr r="C96" s="3"/>
      </tp>
      <tp>
        <v>8000</v>
        <stp/>
        <stp>Market</stp>
        <stp>STOCK</stp>
        <stp>40620.T</stp>
        <stp>現在値</stp>
        <tr r="C95" s="3"/>
      </tp>
      <tp>
        <v>4552</v>
        <stp/>
        <stp>Market</stp>
        <stp>STOCK</stp>
        <stp>40910.T</stp>
        <stp>現在値</stp>
        <tr r="C98" s="3"/>
      </tp>
      <tp>
        <v>2364</v>
        <stp/>
        <stp>Market</stp>
        <stp>STOCK</stp>
        <stp>40880.T</stp>
        <stp>現在値</stp>
        <tr r="C97" s="3"/>
      </tp>
      <tp>
        <v>10825</v>
        <stp/>
        <stp>Market</stp>
        <stp>STOCK</stp>
        <stp>47160.T</stp>
        <stp>現在値</stp>
        <tr r="C135" s="3"/>
      </tp>
      <tp>
        <v>6152</v>
        <stp/>
        <stp>Market</stp>
        <stp>STOCK</stp>
        <stp>47040.T</stp>
        <stp>現在値</stp>
        <tr r="C134" s="3"/>
      </tp>
      <tp>
        <v>1719</v>
        <stp/>
        <stp>Market</stp>
        <stp>STOCK</stp>
        <stp>47320.T</stp>
        <stp>現在値</stp>
        <tr r="C137" s="3"/>
      </tp>
      <tp>
        <v>1930</v>
        <stp/>
        <stp>Market</stp>
        <stp>STOCK</stp>
        <stp>47220.T</stp>
        <stp>現在値</stp>
        <tr r="C136" s="3"/>
      </tp>
      <tp>
        <v>3144</v>
        <stp/>
        <stp>Market</stp>
        <stp>STOCK</stp>
        <stp>47680.T</stp>
        <stp>現在値</stp>
        <tr r="C138" s="3"/>
      </tp>
      <tp>
        <v>2557</v>
        <stp/>
        <stp>Market</stp>
        <stp>STOCK</stp>
        <stp>46130.T</stp>
        <stp>現在値</stp>
        <tr r="C125" s="3"/>
      </tp>
      <tp>
        <v>1008.5</v>
        <stp/>
        <stp>Market</stp>
        <stp>STOCK</stp>
        <stp>46120.T</stp>
        <stp>現在値</stp>
        <tr r="C124" s="3"/>
      </tp>
      <tp>
        <v>5171</v>
        <stp/>
        <stp>Market</stp>
        <stp>STOCK</stp>
        <stp>46260.T</stp>
        <stp>現在値</stp>
        <tr r="C126" s="3"/>
      </tp>
      <tp>
        <v>2760</v>
        <stp/>
        <stp>Market</stp>
        <stp>STOCK</stp>
        <stp>46610.T</stp>
        <stp>現在値</stp>
        <tr r="C127" s="3"/>
      </tp>
      <tp>
        <v>2236</v>
        <stp/>
        <stp>Market</stp>
        <stp>STOCK</stp>
        <stp>46660.T</stp>
        <stp>現在値</stp>
        <tr r="C128" s="3"/>
      </tp>
      <tp>
        <v>397.7</v>
        <stp/>
        <stp>Market</stp>
        <stp>STOCK</stp>
        <stp>46890.T</stp>
        <stp>現在値</stp>
        <tr r="C133" s="3"/>
      </tp>
      <tp>
        <v>1878.5</v>
        <stp/>
        <stp>Market</stp>
        <stp>STOCK</stp>
        <stp>46810.T</stp>
        <stp>現在値</stp>
        <tr r="C130" s="3"/>
      </tp>
      <tp>
        <v>1116</v>
        <stp/>
        <stp>Market</stp>
        <stp>STOCK</stp>
        <stp>46800.T</stp>
        <stp>現在値</stp>
        <tr r="C129" s="3"/>
      </tp>
      <tp>
        <v>4626</v>
        <stp/>
        <stp>Market</stp>
        <stp>STOCK</stp>
        <stp>46840.T</stp>
        <stp>現在値</stp>
        <tr r="C131" s="3"/>
      </tp>
      <tp>
        <v>4930</v>
        <stp/>
        <stp>Market</stp>
        <stp>STOCK</stp>
        <stp>46860.T</stp>
        <stp>現在値</stp>
        <tr r="C132" s="3"/>
      </tp>
      <tp>
        <v>8642</v>
        <stp/>
        <stp>Market</stp>
        <stp>STOCK</stp>
        <stp>45190.T</stp>
        <stp>現在値</stp>
        <tr r="C116" s="3"/>
      </tp>
      <tp>
        <v>5246</v>
        <stp/>
        <stp>Market</stp>
        <stp>STOCK</stp>
        <stp>45160.T</stp>
        <stp>現在値</stp>
        <tr r="C115" s="3"/>
      </tp>
      <tp>
        <v>2199.5</v>
        <stp/>
        <stp>Market</stp>
        <stp>STOCK</stp>
        <stp>45030.T</stp>
        <stp>現在値</stp>
        <tr r="C113" s="3"/>
      </tp>
      <tp>
        <v>3150</v>
        <stp/>
        <stp>Market</stp>
        <stp>STOCK</stp>
        <stp>45070.T</stp>
        <stp>現在値</stp>
        <tr r="C114" s="3"/>
      </tp>
      <tp>
        <v>2323</v>
        <stp/>
        <stp>Market</stp>
        <stp>STOCK</stp>
        <stp>45280.T</stp>
        <stp>現在値</stp>
        <tr r="C119" s="3"/>
      </tp>
      <tp>
        <v>4418</v>
        <stp/>
        <stp>Market</stp>
        <stp>STOCK</stp>
        <stp>45230.T</stp>
        <stp>現在値</stp>
        <tr r="C117" s="3"/>
      </tp>
      <tp>
        <v>2643.5</v>
        <stp/>
        <stp>Market</stp>
        <stp>STOCK</stp>
        <stp>45270.T</stp>
        <stp>現在値</stp>
        <tr r="C118" s="3"/>
      </tp>
      <tp>
        <v>2081.5</v>
        <stp/>
        <stp>Market</stp>
        <stp>STOCK</stp>
        <stp>45430.T</stp>
        <stp>現在値</stp>
        <tr r="C120" s="3"/>
      </tp>
      <tp>
        <v>9144</v>
        <stp/>
        <stp>Market</stp>
        <stp>STOCK</stp>
        <stp>45780.T</stp>
        <stp>現在値</stp>
        <tr r="C122" s="3"/>
      </tp>
      <tp>
        <v>3044</v>
        <stp/>
        <stp>Market</stp>
        <stp>STOCK</stp>
        <stp>45680.T</stp>
        <stp>現在値</stp>
        <tr r="C121" s="3"/>
      </tp>
      <tp>
        <v>1640</v>
        <stp/>
        <stp>Market</stp>
        <stp>STOCK</stp>
        <stp>45870.T</stp>
        <stp>現在値</stp>
        <tr r="C123" s="3"/>
      </tp>
      <tp>
        <v>4619</v>
        <stp/>
        <stp>Market</stp>
        <stp>STOCK</stp>
        <stp>44010.T</stp>
        <stp>現在値</stp>
        <tr r="C110" s="3"/>
      </tp>
      <tp>
        <v>3047</v>
        <stp/>
        <stp>Market</stp>
        <stp>STOCK</stp>
        <stp>44030.T</stp>
        <stp>現在値</stp>
        <tr r="C111" s="3"/>
      </tp>
      <tp>
        <v>6179</v>
        <stp/>
        <stp>Market</stp>
        <stp>STOCK</stp>
        <stp>44520.T</stp>
        <stp>現在値</stp>
        <tr r="C112" s="3"/>
      </tp>
      <tp>
        <v>1688.5</v>
        <stp/>
        <stp>Market</stp>
        <stp>STOCK</stp>
        <stp>49120.T</stp>
        <stp>現在値</stp>
        <tr r="C142" s="3"/>
      </tp>
      <tp>
        <v>3124</v>
        <stp/>
        <stp>Market</stp>
        <stp>STOCK</stp>
        <stp>49010.T</stp>
        <stp>現在値</stp>
        <tr r="C141" s="3"/>
      </tp>
      <tp>
        <v>5489</v>
        <stp/>
        <stp>Market</stp>
        <stp>STOCK</stp>
        <stp>49670.T</stp>
        <stp>現在値</stp>
        <tr r="C143" s="3"/>
      </tp>
      <tp>
        <v>2792.5</v>
        <stp/>
        <stp>Market</stp>
        <stp>STOCK</stp>
        <stp>49800.T</stp>
        <stp>現在値</stp>
        <tr r="C144" s="3"/>
      </tp>
      <tp>
        <v>2529</v>
        <stp/>
        <stp>Market</stp>
        <stp>STOCK</stp>
        <stp>48120.T</stp>
        <stp>現在値</stp>
        <tr r="C139" s="3"/>
      </tp>
      <tp>
        <v>2678</v>
        <stp/>
        <stp>Market</stp>
        <stp>STOCK</stp>
        <stp>48160.T</stp>
        <stp>現在値</stp>
        <tr r="C140" s="3"/>
      </tp>
      <tp>
        <v>17350</v>
        <stp/>
        <stp>Market</stp>
        <stp>STOCK</stp>
        <stp>73090.T</stp>
        <stp>現在値</stp>
        <tr r="C259" s="3"/>
      </tp>
      <tp>
        <v>369.9</v>
        <stp/>
        <stp>Market</stp>
        <stp>STOCK</stp>
        <stp>72110.T</stp>
        <stp>現在値</stp>
        <tr r="C250" s="3"/>
      </tp>
      <tp>
        <v>3459</v>
        <stp/>
        <stp>Market</stp>
        <stp>STOCK</stp>
        <stp>72030.T</stp>
        <stp>現在値</stp>
        <tr r="C249" s="3"/>
      </tp>
      <tp>
        <v>2486.5</v>
        <stp/>
        <stp>Market</stp>
        <stp>STOCK</stp>
        <stp>72020.T</stp>
        <stp>現在値</stp>
        <tr r="C248" s="3"/>
      </tp>
      <tp>
        <v>2771.5</v>
        <stp/>
        <stp>Market</stp>
        <stp>STOCK</stp>
        <stp>72590.T</stp>
        <stp>現在値</stp>
        <tr r="C251" s="3"/>
      </tp>
      <tp>
        <v>3248</v>
        <stp/>
        <stp>Market</stp>
        <stp>STOCK</stp>
        <stp>72700.T</stp>
        <stp>現在値</stp>
        <tr r="C255" s="3"/>
      </tp>
      <tp>
        <v>1151</v>
        <stp/>
        <stp>Market</stp>
        <stp>STOCK</stp>
        <stp>72720.T</stp>
        <stp>現在値</stp>
        <tr r="C256" s="3"/>
      </tp>
      <tp>
        <v>2392</v>
        <stp/>
        <stp>Market</stp>
        <stp>STOCK</stp>
        <stp>72760.T</stp>
        <stp>現在値</stp>
        <tr r="C257" s="3"/>
      </tp>
      <tp>
        <v>2106.5</v>
        <stp/>
        <stp>Market</stp>
        <stp>STOCK</stp>
        <stp>72690.T</stp>
        <stp>現在値</stp>
        <tr r="C254" s="3"/>
      </tp>
      <tp>
        <v>1162.5</v>
        <stp/>
        <stp>Market</stp>
        <stp>STOCK</stp>
        <stp>72610.T</stp>
        <stp>現在値</stp>
        <tr r="C252" s="3"/>
      </tp>
      <tp>
        <v>1536</v>
        <stp/>
        <stp>Market</stp>
        <stp>STOCK</stp>
        <stp>72670.T</stp>
        <stp>現在値</stp>
        <tr r="C253" s="3"/>
      </tp>
      <tp>
        <v>4224</v>
        <stp/>
        <stp>Market</stp>
        <stp>STOCK</stp>
        <stp>72820.T</stp>
        <stp>現在値</stp>
        <tr r="C258" s="3"/>
      </tp>
      <tp>
        <v>1555</v>
        <stp/>
        <stp>Market</stp>
        <stp>STOCK</stp>
        <stp>71050.T</stp>
        <stp>現在値</stp>
        <tr r="C243" s="3"/>
      </tp>
      <tp>
        <v>2033</v>
        <stp/>
        <stp>Market</stp>
        <stp>STOCK</stp>
        <stp>71480.T</stp>
        <stp>現在値</stp>
        <tr r="C244" s="3"/>
      </tp>
      <tp>
        <v>3064</v>
        <stp/>
        <stp>Market</stp>
        <stp>STOCK</stp>
        <stp>71640.T</stp>
        <stp>現在値</stp>
        <tr r="C245" s="3"/>
      </tp>
      <tp>
        <v>1139.5</v>
        <stp/>
        <stp>Market</stp>
        <stp>STOCK</stp>
        <stp>71670.T</stp>
        <stp>現在値</stp>
        <tr r="C246" s="3"/>
      </tp>
      <tp>
        <v>1393</v>
        <stp/>
        <stp>Market</stp>
        <stp>STOCK</stp>
        <stp>71860.T</stp>
        <stp>現在値</stp>
        <tr r="C247" s="3"/>
      </tp>
      <tp>
        <v>4550</v>
        <stp/>
        <stp>Market</stp>
        <stp>STOCK</stp>
        <stp>70110.T</stp>
        <stp>現在値</stp>
        <tr r="C239" s="3"/>
      </tp>
      <tp>
        <v>3561</v>
        <stp/>
        <stp>Market</stp>
        <stp>STOCK</stp>
        <stp>70130.T</stp>
        <stp>現在値</stp>
        <tr r="C241" s="3"/>
      </tp>
      <tp>
        <v>13035</v>
        <stp/>
        <stp>Market</stp>
        <stp>STOCK</stp>
        <stp>70120.T</stp>
        <stp>現在値</stp>
        <tr r="C240" s="3"/>
      </tp>
      <tp>
        <v>4300</v>
        <stp/>
        <stp>Market</stp>
        <stp>STOCK</stp>
        <stp>70140.T</stp>
        <stp>現在値</stp>
        <tr r="C242" s="3"/>
      </tp>
      <tp>
        <v>6669</v>
        <stp/>
        <stp>Market</stp>
        <stp>STOCK</stp>
        <stp>70030.T</stp>
        <stp>現在値</stp>
        <tr r="C237" s="3"/>
      </tp>
      <tp>
        <v>1014</v>
        <stp/>
        <stp>Market</stp>
        <stp>STOCK</stp>
        <stp>70040.T</stp>
        <stp>現在値</stp>
        <tr r="C238" s="3"/>
      </tp>
      <tp>
        <v>2189</v>
        <stp/>
        <stp>Market</stp>
        <stp>STOCK</stp>
        <stp>77160.T</stp>
        <stp>現在値</stp>
        <tr r="C269" s="3"/>
      </tp>
      <tp>
        <v>4328</v>
        <stp/>
        <stp>Market</stp>
        <stp>STOCK</stp>
        <stp>77010.T</stp>
        <stp>現在値</stp>
        <tr r="C268" s="3"/>
      </tp>
      <tp>
        <v>1854</v>
        <stp/>
        <stp>Market</stp>
        <stp>STOCK</stp>
        <stp>77330.T</stp>
        <stp>現在値</stp>
        <tr r="C271" s="3"/>
      </tp>
      <tp>
        <v>19250</v>
        <stp/>
        <stp>Market</stp>
        <stp>STOCK</stp>
        <stp>77350.T</stp>
        <stp>現在値</stp>
        <tr r="C272" s="3"/>
      </tp>
      <tp>
        <v>13565</v>
        <stp/>
        <stp>Market</stp>
        <stp>STOCK</stp>
        <stp>77290.T</stp>
        <stp>現在値</stp>
        <tr r="C270" s="3"/>
      </tp>
      <tp>
        <v>4511</v>
        <stp/>
        <stp>Market</stp>
        <stp>STOCK</stp>
        <stp>77510.T</stp>
        <stp>現在値</stp>
        <tr r="C277" s="3"/>
      </tp>
      <tp>
        <v>25125</v>
        <stp/>
        <stp>Market</stp>
        <stp>STOCK</stp>
        <stp>77410.T</stp>
        <stp>現在値</stp>
        <tr r="C274" s="3"/>
      </tp>
      <tp>
        <v>1035</v>
        <stp/>
        <stp>Market</stp>
        <stp>STOCK</stp>
        <stp>77400.T</stp>
        <stp>現在値</stp>
        <tr r="C273" s="3"/>
      </tp>
      <tp>
        <v>2116</v>
        <stp/>
        <stp>Market</stp>
        <stp>STOCK</stp>
        <stp>77440.T</stp>
        <stp>現在値</stp>
        <tr r="C275" s="3"/>
      </tp>
      <tp>
        <v>2716</v>
        <stp/>
        <stp>Market</stp>
        <stp>STOCK</stp>
        <stp>77470.T</stp>
        <stp>現在値</stp>
        <tr r="C276" s="3"/>
      </tp>
      <tp>
        <v>1354</v>
        <stp/>
        <stp>Market</stp>
        <stp>STOCK</stp>
        <stp>77620.T</stp>
        <stp>現在値</stp>
        <tr r="C278" s="3"/>
      </tp>
      <tp>
        <v>3805</v>
        <stp/>
        <stp>Market</stp>
        <stp>STOCK</stp>
        <stp>76490.T</stp>
        <stp>現在値</stp>
        <tr r="C267" s="3"/>
      </tp>
      <tp>
        <v>928.1</v>
        <stp/>
        <stp>Market</stp>
        <stp>STOCK</stp>
        <stp>75320.T</stp>
        <stp>現在値</stp>
        <tr r="C263" s="3"/>
      </tp>
      <tp>
        <v>8423</v>
        <stp/>
        <stp>Market</stp>
        <stp>STOCK</stp>
        <stp>75500.T</stp>
        <stp>現在値</stp>
        <tr r="C264" s="3"/>
      </tp>
      <tp>
        <v>6490</v>
        <stp/>
        <stp>Market</stp>
        <stp>STOCK</stp>
        <stp>75640.T</stp>
        <stp>現在値</stp>
        <tr r="C265" s="3"/>
      </tp>
      <tp>
        <v>1541</v>
        <stp/>
        <stp>Market</stp>
        <stp>STOCK</stp>
        <stp>75990.T</stp>
        <stp>現在値</stp>
        <tr r="C266" s="3"/>
      </tp>
    </main>
    <main first="rtdsrv.9a0e439d503c4134b124aa8a925fc5f1">
      <tp>
        <v>1227</v>
        <stp/>
        <stp>Market</stp>
        <stp>STOCK</stp>
        <stp>74190.T</stp>
        <stp>現在値</stp>
        <tr r="C260" s="3"/>
      </tp>
      <tp>
        <v>2849.5</v>
        <stp/>
        <stp>Market</stp>
        <stp>STOCK</stp>
        <stp>74590.T</stp>
        <stp>現在値</stp>
        <tr r="C262" s="3"/>
      </tp>
      <tp>
        <v>3066</v>
        <stp/>
        <stp>Market</stp>
        <stp>STOCK</stp>
        <stp>74530.T</stp>
        <stp>現在値</stp>
        <tr r="C261" s="3"/>
      </tp>
    </main>
    <main first="rtdsrv.9a0e439d503c4134b124aa8a925fc5f1">
      <tp>
        <v>2818.5</v>
        <stp/>
        <stp>Market</stp>
        <stp>STOCK</stp>
        <stp>79120.T</stp>
        <stp>現在値</stp>
        <tr r="C283" s="3"/>
      </tp>
      <tp>
        <v>3300</v>
        <stp/>
        <stp>Market</stp>
        <stp>STOCK</stp>
        <stp>79060.T</stp>
        <stp>現在値</stp>
        <tr r="C282" s="3"/>
      </tp>
      <tp>
        <v>3858</v>
        <stp/>
        <stp>Market</stp>
        <stp>STOCK</stp>
        <stp>79360.T</stp>
        <stp>現在値</stp>
        <tr r="C284" s="3"/>
      </tp>
      <tp>
        <v>1116</v>
        <stp/>
        <stp>Market</stp>
        <stp>STOCK</stp>
        <stp>79510.T</stp>
        <stp>現在値</stp>
        <tr r="C286" s="3"/>
      </tp>
      <tp>
        <v>3830</v>
        <stp/>
        <stp>Market</stp>
        <stp>STOCK</stp>
        <stp>79440.T</stp>
        <stp>現在値</stp>
        <tr r="C285" s="3"/>
      </tp>
      <tp>
        <v>10375</v>
        <stp/>
        <stp>Market</stp>
        <stp>STOCK</stp>
        <stp>79740.T</stp>
        <stp>現在値</stp>
        <tr r="C287" s="3"/>
      </tp>
      <tp>
        <v>2368</v>
        <stp/>
        <stp>Market</stp>
        <stp>STOCK</stp>
        <stp>79940.T</stp>
        <stp>現在値</stp>
        <tr r="C289" s="3"/>
      </tp>
      <tp>
        <v>4877</v>
        <stp/>
        <stp>Market</stp>
        <stp>STOCK</stp>
        <stp>79880.T</stp>
        <stp>現在値</stp>
        <tr r="C288" s="3"/>
      </tp>
    </main>
    <main first="rtdsrv.9a0e439d503c4134b124aa8a925fc5f1">
      <tp>
        <v>4008</v>
        <stp/>
        <stp>Market</stp>
        <stp>STOCK</stp>
        <stp>78320.T</stp>
        <stp>現在値</stp>
        <tr r="C279" s="3"/>
      </tp>
      <tp>
        <v>4889</v>
        <stp/>
        <stp>Market</stp>
        <stp>STOCK</stp>
        <stp>78460.T</stp>
        <stp>現在値</stp>
        <tr r="C280" s="3"/>
      </tp>
      <tp>
        <v>2769.5</v>
        <stp/>
        <stp>Market</stp>
        <stp>STOCK</stp>
        <stp>78670.T</stp>
        <stp>現在値</stp>
        <tr r="C281" s="3"/>
      </tp>
    </main>
    <main first="rtdsrv.9a0e439d503c4134b124aa8a925fc5f1">
      <tp>
        <v>5681</v>
        <stp/>
        <stp>Market</stp>
        <stp>STOCK</stp>
        <stp>63010.T</stp>
        <stp>現在値</stp>
        <tr r="C185" s="3"/>
      </tp>
      <tp>
        <v>5108</v>
        <stp/>
        <stp>Market</stp>
        <stp>STOCK</stp>
        <stp>63050.T</stp>
        <stp>現在値</stp>
        <tr r="C186" s="3"/>
      </tp>
      <tp>
        <v>3608</v>
        <stp/>
        <stp>Market</stp>
        <stp>STOCK</stp>
        <stp>63230.T</stp>
        <stp>現在値</stp>
        <tr r="C187" s="3"/>
      </tp>
      <tp>
        <v>2349.5</v>
        <stp/>
        <stp>Market</stp>
        <stp>STOCK</stp>
        <stp>63260.T</stp>
        <stp>現在値</stp>
        <tr r="C188" s="3"/>
      </tp>
      <tp>
        <v>16285</v>
        <stp/>
        <stp>Market</stp>
        <stp>STOCK</stp>
        <stp>63680.T</stp>
        <stp>現在値</stp>
        <tr r="C191" s="3"/>
      </tp>
      <tp>
        <v>4931</v>
        <stp/>
        <stp>Market</stp>
        <stp>STOCK</stp>
        <stp>63610.T</stp>
        <stp>現在値</stp>
        <tr r="C189" s="3"/>
      </tp>
      <tp>
        <v>19020</v>
        <stp/>
        <stp>Market</stp>
        <stp>STOCK</stp>
        <stp>63670.T</stp>
        <stp>現在値</stp>
        <tr r="C190" s="3"/>
      </tp>
      <tp>
        <v>5419</v>
        <stp/>
        <stp>Market</stp>
        <stp>STOCK</stp>
        <stp>63830.T</stp>
        <stp>現在値</stp>
        <tr r="C192" s="3"/>
      </tp>
      <tp>
        <v>19345</v>
        <stp/>
        <stp>Market</stp>
        <stp>STOCK</stp>
        <stp>62010.T</stp>
        <stp>現在値</stp>
        <tr r="C181" s="3"/>
      </tp>
      <tp>
        <v>3650</v>
        <stp/>
        <stp>Market</stp>
        <stp>STOCK</stp>
        <stp>62540.T</stp>
        <stp>現在値</stp>
        <tr r="C182" s="3"/>
      </tp>
      <tp>
        <v>62910</v>
        <stp/>
        <stp>Market</stp>
        <stp>STOCK</stp>
        <stp>62730.T</stp>
        <stp>現在値</stp>
        <tr r="C184" s="3"/>
      </tp>
      <tp>
        <v>14190</v>
        <stp/>
        <stp>Market</stp>
        <stp>STOCK</stp>
        <stp>62690.T</stp>
        <stp>現在値</stp>
        <tr r="C183" s="3"/>
      </tp>
      <tp>
        <v>1960</v>
        <stp/>
        <stp>Market</stp>
        <stp>STOCK</stp>
        <stp>61130.T</stp>
        <stp>現在値</stp>
        <tr r="C178" s="3"/>
      </tp>
      <tp>
        <v>3095</v>
        <stp/>
        <stp>Market</stp>
        <stp>STOCK</stp>
        <stp>61010.T</stp>
        <stp>現在値</stp>
        <tr r="C177" s="3"/>
      </tp>
      <tp>
        <v>2739</v>
        <stp/>
        <stp>Market</stp>
        <stp>STOCK</stp>
        <stp>61410.T</stp>
        <stp>現在値</stp>
        <tr r="C179" s="3"/>
      </tp>
      <tp>
        <v>68930</v>
        <stp/>
        <stp>Market</stp>
        <stp>STOCK</stp>
        <stp>61460.T</stp>
        <stp>現在値</stp>
        <tr r="C180" s="3"/>
      </tp>
      <tp>
        <v>3211</v>
        <stp/>
        <stp>Market</stp>
        <stp>STOCK</stp>
        <stp>60050.T</stp>
        <stp>現在値</stp>
        <tr r="C175" s="3"/>
      </tp>
      <tp>
        <v>8510</v>
        <stp/>
        <stp>Market</stp>
        <stp>STOCK</stp>
        <stp>60980.T</stp>
        <stp>現在値</stp>
        <tr r="C176" s="3"/>
      </tp>
      <tp>
        <v>5687</v>
        <stp/>
        <stp>Market</stp>
        <stp>STOCK</stp>
        <stp>67010.T</stp>
        <stp>現在値</stp>
        <tr r="C211" s="3"/>
      </tp>
      <tp>
        <v>4087</v>
        <stp/>
        <stp>Market</stp>
        <stp>STOCK</stp>
        <stp>67020.T</stp>
        <stp>現在値</stp>
        <tr r="C212" s="3"/>
      </tp>
      <tp>
        <v>6792</v>
        <stp/>
        <stp>Market</stp>
        <stp>STOCK</stp>
        <stp>67070.T</stp>
        <stp>現在値</stp>
        <tr r="C213" s="3"/>
      </tp>
      <tp>
        <v>8240</v>
        <stp/>
        <stp>Market</stp>
        <stp>STOCK</stp>
        <stp>67280.T</stp>
        <stp>現在値</stp>
        <tr r="C216" s="3"/>
      </tp>
      <tp>
        <v>2390</v>
        <stp/>
        <stp>Market</stp>
        <stp>STOCK</stp>
        <stp>67230.T</stp>
        <stp>現在値</stp>
        <tr r="C214" s="3"/>
      </tp>
      <tp>
        <v>2003</v>
        <stp/>
        <stp>Market</stp>
        <stp>STOCK</stp>
        <stp>67240.T</stp>
        <stp>現在値</stp>
        <tr r="C215" s="3"/>
      </tp>
      <tp>
        <v>3490</v>
        <stp/>
        <stp>Market</stp>
        <stp>STOCK</stp>
        <stp>67580.T</stp>
        <stp>現在値</stp>
        <tr r="C218" s="3"/>
      </tp>
      <tp>
        <v>2187.5</v>
        <stp/>
        <stp>Market</stp>
        <stp>STOCK</stp>
        <stp>67520.T</stp>
        <stp>現在値</stp>
        <tr r="C217" s="3"/>
      </tp>
      <tp>
        <v>1933.5</v>
        <stp/>
        <stp>Market</stp>
        <stp>STOCK</stp>
        <stp>67620.T</stp>
        <stp>現在値</stp>
        <tr r="C219" s="3"/>
      </tp>
      <tp>
        <v>10300</v>
        <stp/>
        <stp>Market</stp>
        <stp>STOCK</stp>
        <stp>67870.T</stp>
        <stp>現在値</stp>
        <tr r="C220" s="3"/>
      </tp>
      <tp>
        <v>1257.5</v>
        <stp/>
        <stp>Market</stp>
        <stp>STOCK</stp>
        <stp>66320.T</stp>
        <stp>現在値</stp>
        <tr r="C208" s="3"/>
      </tp>
      <tp>
        <v>3925</v>
        <stp/>
        <stp>Market</stp>
        <stp>STOCK</stp>
        <stp>66450.T</stp>
        <stp>現在値</stp>
        <tr r="C209" s="3"/>
      </tp>
      <tp>
        <v>1623</v>
        <stp/>
        <stp>Market</stp>
        <stp>STOCK</stp>
        <stp>66700.T</stp>
        <stp>現在値</stp>
        <tr r="C210" s="3"/>
      </tp>
      <tp>
        <v>5094</v>
        <stp/>
        <stp>Market</stp>
        <stp>STOCK</stp>
        <stp>65010.T</stp>
        <stp>現在値</stp>
        <tr r="C200" s="3"/>
      </tp>
      <tp>
        <v>4886</v>
        <stp/>
        <stp>Market</stp>
        <stp>STOCK</stp>
        <stp>65030.T</stp>
        <stp>現在値</stp>
        <tr r="C201" s="3"/>
      </tp>
      <tp>
        <v>11545</v>
        <stp/>
        <stp>Market</stp>
        <stp>STOCK</stp>
        <stp>65040.T</stp>
        <stp>現在値</stp>
        <tr r="C202" s="3"/>
      </tp>
      <tp>
        <v>5085</v>
        <stp/>
        <stp>Market</stp>
        <stp>STOCK</stp>
        <stp>65060.T</stp>
        <stp>現在値</stp>
        <tr r="C203" s="3"/>
      </tp>
      <tp>
        <v>6220</v>
        <stp/>
        <stp>Market</stp>
        <stp>STOCK</stp>
        <stp>65320.T</stp>
        <stp>現在値</stp>
        <tr r="C204" s="3"/>
      </tp>
    </main>
    <main first="rtdsrv.9a0e439d503c4134b124aa8a925fc5f1">
      <tp>
        <v>1637</v>
        <stp/>
        <stp>Market</stp>
        <stp>STOCK</stp>
        <stp>65440.T</stp>
        <stp>現在値</stp>
        <tr r="C205" s="3"/>
      </tp>
      <tp>
        <v>26510</v>
        <stp/>
        <stp>Market</stp>
        <stp>STOCK</stp>
        <stp>65900.T</stp>
        <stp>現在値</stp>
        <tr r="C207" s="3"/>
      </tp>
      <tp>
        <v>4762</v>
        <stp/>
        <stp>Market</stp>
        <stp>STOCK</stp>
        <stp>65860.T</stp>
        <stp>現在値</stp>
        <tr r="C206" s="3"/>
      </tp>
    </main>
    <main first="rtdsrv.9a0e439d503c4134b124aa8a925fc5f1">
      <tp>
        <v>2420</v>
        <stp/>
        <stp>Market</stp>
        <stp>STOCK</stp>
        <stp>64170.T</stp>
        <stp>現在値</stp>
        <tr r="C193" s="3"/>
      </tp>
      <tp>
        <v>6260</v>
        <stp/>
        <stp>Market</stp>
        <stp>STOCK</stp>
        <stp>64320.T</stp>
        <stp>現在値</stp>
        <tr r="C194" s="3"/>
      </tp>
      <tp>
        <v>4084</v>
        <stp/>
        <stp>Market</stp>
        <stp>STOCK</stp>
        <stp>64360.T</stp>
        <stp>現在値</stp>
        <tr r="C195" s="3"/>
      </tp>
      <tp>
        <v>3156</v>
        <stp/>
        <stp>Market</stp>
        <stp>STOCK</stp>
        <stp>64480.T</stp>
        <stp>現在値</stp>
        <tr r="C196" s="3"/>
      </tp>
      <tp>
        <v>3250</v>
        <stp/>
        <stp>Market</stp>
        <stp>STOCK</stp>
        <stp>64790.T</stp>
        <stp>現在値</stp>
        <tr r="C199" s="3"/>
      </tp>
      <tp>
        <v>2379.5</v>
        <stp/>
        <stp>Market</stp>
        <stp>STOCK</stp>
        <stp>64600.T</stp>
        <stp>現在値</stp>
        <tr r="C197" s="3"/>
      </tp>
      <tp>
        <v>5028</v>
        <stp/>
        <stp>Market</stp>
        <stp>STOCK</stp>
        <stp>64650.T</stp>
        <stp>現在値</stp>
        <tr r="C198" s="3"/>
      </tp>
    </main>
    <main first="rtdsrv.9a0e439d503c4134b124aa8a925fc5f1">
      <tp>
        <v>2126</v>
        <stp/>
        <stp>Market</stp>
        <stp>STOCK</stp>
        <stp>69020.T</stp>
        <stp>現在値</stp>
        <tr r="C229" s="3"/>
      </tp>
      <tp>
        <v>36900</v>
        <stp/>
        <stp>Market</stp>
        <stp>STOCK</stp>
        <stp>69200.T</stp>
        <stp>現在値</stp>
        <tr r="C230" s="3"/>
      </tp>
      <tp>
        <v>6206</v>
        <stp/>
        <stp>Market</stp>
        <stp>STOCK</stp>
        <stp>69510.T</stp>
        <stp>現在値</stp>
        <tr r="C231" s="3"/>
      </tp>
      <tp>
        <v>6342</v>
        <stp/>
        <stp>Market</stp>
        <stp>STOCK</stp>
        <stp>69540.T</stp>
        <stp>現在値</stp>
        <tr r="C232" s="3"/>
      </tp>
      <tp>
        <v>1728.5</v>
        <stp/>
        <stp>Market</stp>
        <stp>STOCK</stp>
        <stp>69650.T</stp>
        <stp>現在値</stp>
        <tr r="C233" s="3"/>
      </tp>
      <tp>
        <v>750</v>
        <stp/>
        <stp>Market</stp>
        <stp>STOCK</stp>
        <stp>69660.T</stp>
        <stp>現在値</stp>
        <tr r="C234" s="3"/>
      </tp>
      <tp>
        <v>3509</v>
        <stp/>
        <stp>Market</stp>
        <stp>STOCK</stp>
        <stp>69880.T</stp>
        <stp>現在値</stp>
        <tr r="C236" s="3"/>
      </tp>
      <tp>
        <v>3228</v>
        <stp/>
        <stp>Market</stp>
        <stp>STOCK</stp>
        <stp>69810.T</stp>
        <stp>現在値</stp>
        <tr r="C235" s="3"/>
      </tp>
    </main>
    <main first="rtdsrv.9a0e439d503c4134b124aa8a925fc5f1">
      <tp>
        <v>17245</v>
        <stp/>
        <stp>Market</stp>
        <stp>STOCK</stp>
        <stp>68060.T</stp>
        <stp>現在値</stp>
        <tr r="C221" s="3"/>
      </tp>
    </main>
    <main first="rtdsrv.9a0e439d503c4134b124aa8a925fc5f1">
      <tp>
        <v>24955</v>
        <stp/>
        <stp>Market</stp>
        <stp>STOCK</stp>
        <stp>68570.T</stp>
        <stp>現在値</stp>
        <tr r="C226" s="3"/>
      </tp>
      <tp>
        <v>18685</v>
        <stp/>
        <stp>Market</stp>
        <stp>STOCK</stp>
        <stp>68560.T</stp>
        <stp>現在値</stp>
        <tr r="C225" s="3"/>
      </tp>
      <tp>
        <v>1748</v>
        <stp/>
        <stp>Market</stp>
        <stp>STOCK</stp>
        <stp>68490.T</stp>
        <stp>現在値</stp>
        <tr r="C224" s="3"/>
      </tp>
      <tp>
        <v>5204</v>
        <stp/>
        <stp>Market</stp>
        <stp>STOCK</stp>
        <stp>68410.T</stp>
        <stp>現在値</stp>
        <tr r="C222" s="3"/>
      </tp>
      <tp>
        <v>1365</v>
        <stp/>
        <stp>Market</stp>
        <stp>STOCK</stp>
        <stp>68450.T</stp>
        <stp>現在値</stp>
        <tr r="C223" s="3"/>
      </tp>
      <tp>
        <v>1479.5</v>
        <stp/>
        <stp>Market</stp>
        <stp>STOCK</stp>
        <stp>68690.T</stp>
        <stp>現在値</stp>
        <tr r="C228" s="3"/>
      </tp>
      <tp>
        <v>58890</v>
        <stp/>
        <stp>Market</stp>
        <stp>STOCK</stp>
        <stp>68610.T</stp>
        <stp>現在値</stp>
        <tr r="C227" s="3"/>
      </tp>
    </main>
    <main first="rtdsrv.9a0e439d503c4134b124aa8a925fc5f1">
      <tp>
        <v>1303.5</v>
        <stp/>
        <stp>Market</stp>
        <stp>STOCK</stp>
        <stp>13320.T</stp>
        <stp>現在値</stp>
        <tr r="C2" s="3"/>
      </tp>
      <tp>
        <v>2018</v>
        <stp/>
        <stp>Market</stp>
        <stp>STOCK</stp>
        <stp>17190.T</stp>
        <stp>現在値</stp>
        <tr r="C8" s="3"/>
      </tp>
      <tp>
        <v>4912</v>
        <stp/>
        <stp>Market</stp>
        <stp>STOCK</stp>
        <stp>17210.T</stp>
        <stp>現在値</stp>
        <tr r="C9" s="3"/>
      </tp>
      <tp>
        <v>3258</v>
        <stp/>
        <stp>Market</stp>
        <stp>STOCK</stp>
        <stp>16050.T</stp>
        <stp>現在値</stp>
        <tr r="C6" s="3"/>
      </tp>
      <tp>
        <v>1910</v>
        <stp/>
        <stp>Market</stp>
        <stp>STOCK</stp>
        <stp>16620.T</stp>
        <stp>現在値</stp>
        <tr r="C7" s="3"/>
      </tp>
      <tp>
        <v>1424</v>
        <stp/>
        <stp>Market</stp>
        <stp>STOCK</stp>
        <stp>15180.T</stp>
        <stp>現在値</stp>
        <tr r="C5" s="3"/>
      </tp>
    </main>
    <main first="rtdsrv.9a0e439d503c4134b124aa8a925fc5f1">
      <tp>
        <v>3710</v>
        <stp/>
        <stp>Market</stp>
        <stp>STOCK</stp>
        <stp>14190.T</stp>
        <stp>現在値</stp>
        <tr r="C4" s="3"/>
      </tp>
      <tp>
        <v>1419</v>
        <stp/>
        <stp>Market</stp>
        <stp>STOCK</stp>
        <stp>14140.T</stp>
        <stp>現在値</stp>
        <tr r="C3" s="3"/>
      </tp>
    </main>
    <main first="rtdsrv.9a0e439d503c4134b124aa8a925fc5f1">
      <tp>
        <v>1649.5</v>
        <stp/>
        <stp>Market</stp>
        <stp>STOCK</stp>
        <stp>19110.T</stp>
        <stp>現在値</stp>
        <tr r="C15" s="3"/>
      </tp>
      <tp>
        <v>3528</v>
        <stp/>
        <stp>Market</stp>
        <stp>STOCK</stp>
        <stp>19280.T</stp>
        <stp>現在値</stp>
        <tr r="C17" s="3"/>
      </tp>
      <tp>
        <v>5271</v>
        <stp/>
        <stp>Market</stp>
        <stp>STOCK</stp>
        <stp>19250.T</stp>
        <stp>現在値</stp>
        <tr r="C16" s="3"/>
      </tp>
      <tp>
        <v>8325</v>
        <stp/>
        <stp>Market</stp>
        <stp>STOCK</stp>
        <stp>19590.T</stp>
        <stp>現在値</stp>
        <tr r="C20" s="3"/>
      </tp>
    </main>
    <main first="rtdsrv.9a0e439d503c4134b124aa8a925fc5f1">
      <tp>
        <v>2654.5</v>
        <stp/>
        <stp>Market</stp>
        <stp>STOCK</stp>
        <stp>19510.T</stp>
        <stp>現在値</stp>
        <tr r="C19" s="3"/>
      </tp>
      <tp>
        <v>5472</v>
        <stp/>
        <stp>Market</stp>
        <stp>STOCK</stp>
        <stp>19420.T</stp>
        <stp>現在値</stp>
        <tr r="C18" s="3"/>
      </tp>
      <tp>
        <v>4593</v>
        <stp/>
        <stp>Market</stp>
        <stp>STOCK</stp>
        <stp>19690.T</stp>
        <stp>現在値</stp>
        <tr r="C21" s="3"/>
      </tp>
    </main>
    <main first="rtdsrv.9a0e439d503c4134b124aa8a925fc5f1">
      <tp>
        <v>6460</v>
        <stp/>
        <stp>Market</stp>
        <stp>STOCK</stp>
        <stp>18120.T</stp>
        <stp>現在値</stp>
        <tr r="C13" s="3"/>
      </tp>
      <tp>
        <v>3220</v>
        <stp/>
        <stp>Market</stp>
        <stp>STOCK</stp>
        <stp>18080.T</stp>
        <stp>現在値</stp>
        <tr r="C12" s="3"/>
      </tp>
      <tp>
        <v>15520</v>
        <stp/>
        <stp>Market</stp>
        <stp>STOCK</stp>
        <stp>18010.T</stp>
        <stp>現在値</stp>
        <tr r="C10" s="3"/>
      </tp>
      <tp>
        <v>3572</v>
        <stp/>
        <stp>Market</stp>
        <stp>STOCK</stp>
        <stp>18020.T</stp>
        <stp>現在値</stp>
        <tr r="C11" s="3"/>
      </tp>
      <tp>
        <v>3068</v>
        <stp/>
        <stp>Market</stp>
        <stp>STOCK</stp>
        <stp>18780.T</stp>
        <stp>現在値</stp>
        <tr r="C14" s="3"/>
      </tp>
    </main>
    <main first="rtdsrv.9a0e439d503c4134b124aa8a925fc5f1">
      <tp>
        <v>6848</v>
        <stp/>
        <stp>Market</stp>
        <stp>STOCK</stp>
        <stp>33490.T</stp>
        <stp>現在値</stp>
        <tr r="C73" s="3"/>
      </tp>
      <tp>
        <v>2699.5</v>
        <stp/>
        <stp>Market</stp>
        <stp>STOCK</stp>
        <stp>33600.T</stp>
        <stp>現在値</stp>
        <tr r="C74" s="3"/>
      </tp>
      <tp>
        <v>2502</v>
        <stp/>
        <stp>Market</stp>
        <stp>STOCK</stp>
        <stp>33910.T</stp>
        <stp>現在値</stp>
        <tr r="C76" s="3"/>
      </tp>
      <tp>
        <v>2174</v>
        <stp/>
        <stp>Market</stp>
        <stp>STOCK</stp>
        <stp>33820.T</stp>
        <stp>現在値</stp>
        <tr r="C75" s="3"/>
      </tp>
      <tp>
        <v>1027.5</v>
        <stp/>
        <stp>Market</stp>
        <stp>STOCK</stp>
        <stp>32310.T</stp>
        <stp>現在値</stp>
        <tr r="C69" s="3"/>
      </tp>
      <tp>
        <v>2536</v>
        <stp/>
        <stp>Market</stp>
        <stp>STOCK</stp>
        <stp>32910.T</stp>
        <stp>現在値</stp>
        <tr r="C72" s="3"/>
      </tp>
      <tp>
        <v>1436</v>
        <stp/>
        <stp>Market</stp>
        <stp>STOCK</stp>
        <stp>32890.T</stp>
        <stp>現在値</stp>
        <tr r="C71" s="3"/>
      </tp>
      <tp>
        <v>9139</v>
        <stp/>
        <stp>Market</stp>
        <stp>STOCK</stp>
        <stp>32880.T</stp>
        <stp>現在値</stp>
        <tr r="C70" s="3"/>
      </tp>
      <tp>
        <v>2625</v>
        <stp/>
        <stp>Market</stp>
        <stp>STOCK</stp>
        <stp>31160.T</stp>
        <stp>現在値</stp>
        <tr r="C65" s="3"/>
      </tp>
      <tp>
        <v>3057</v>
        <stp/>
        <stp>Market</stp>
        <stp>STOCK</stp>
        <stp>31070.T</stp>
        <stp>現在値</stp>
        <tr r="C64" s="3"/>
      </tp>
      <tp>
        <v>2638</v>
        <stp/>
        <stp>Market</stp>
        <stp>STOCK</stp>
        <stp>31320.T</stp>
        <stp>現在値</stp>
        <tr r="C66" s="3"/>
      </tp>
      <tp>
        <v>3315</v>
        <stp/>
        <stp>Market</stp>
        <stp>STOCK</stp>
        <stp>31480.T</stp>
        <stp>現在値</stp>
        <tr r="C67" s="3"/>
      </tp>
      <tp>
        <v>3365</v>
        <stp/>
        <stp>Market</stp>
        <stp>STOCK</stp>
        <stp>31860.T</stp>
        <stp>現在値</stp>
        <tr r="C68" s="3"/>
      </tp>
      <tp>
        <v>1762</v>
        <stp/>
        <stp>Market</stp>
        <stp>STOCK</stp>
        <stp>30030.T</stp>
        <stp>現在値</stp>
        <tr r="C58" s="3"/>
      </tp>
      <tp>
        <v>3787</v>
        <stp/>
        <stp>Market</stp>
        <stp>STOCK</stp>
        <stp>30380.T</stp>
        <stp>現在値</stp>
        <tr r="C59" s="3"/>
      </tp>
      <tp>
        <v>2262.5</v>
        <stp/>
        <stp>Market</stp>
        <stp>STOCK</stp>
        <stp>30640.T</stp>
        <stp>現在値</stp>
        <tr r="C60" s="3"/>
      </tp>
      <tp>
        <v>1223</v>
        <stp/>
        <stp>Market</stp>
        <stp>STOCK</stp>
        <stp>30920.T</stp>
        <stp>現在値</stp>
        <tr r="C63" s="3"/>
      </tp>
      <tp>
        <v>2519</v>
        <stp/>
        <stp>Market</stp>
        <stp>STOCK</stp>
        <stp>30880.T</stp>
        <stp>現在値</stp>
        <tr r="C62" s="3"/>
      </tp>
      <tp>
        <v>2291.5</v>
        <stp/>
        <stp>Market</stp>
        <stp>STOCK</stp>
        <stp>30860.T</stp>
        <stp>現在値</stp>
        <tr r="C61" s="3"/>
      </tp>
      <tp>
        <v>2575.5</v>
        <stp/>
        <stp>Market</stp>
        <stp>STOCK</stp>
        <stp>37740.T</stp>
        <stp>現在値</stp>
        <tr r="C89" s="3"/>
      </tp>
      <tp>
        <v>9015</v>
        <stp/>
        <stp>Market</stp>
        <stp>STOCK</stp>
        <stp>37690.T</stp>
        <stp>現在値</stp>
        <tr r="C88" s="3"/>
      </tp>
      <tp>
        <v>2621</v>
        <stp/>
        <stp>Market</stp>
        <stp>STOCK</stp>
        <stp>37650.T</stp>
        <stp>現在値</stp>
        <tr r="C87" s="3"/>
      </tp>
      <tp>
        <v>1737</v>
        <stp/>
        <stp>Market</stp>
        <stp>STOCK</stp>
        <stp>36350.T</stp>
        <stp>現在値</stp>
        <tr r="C84" s="3"/>
      </tp>
      <tp>
        <v>4700</v>
        <stp/>
        <stp>Market</stp>
        <stp>STOCK</stp>
        <stp>36260.T</stp>
        <stp>現在値</stp>
        <tr r="C83" s="3"/>
      </tp>
      <tp>
        <v>4281</v>
        <stp/>
        <stp>Market</stp>
        <stp>STOCK</stp>
        <stp>36590.T</stp>
        <stp>現在値</stp>
        <tr r="C85" s="3"/>
      </tp>
      <tp>
        <v>850.4</v>
        <stp/>
        <stp>Market</stp>
        <stp>STOCK</stp>
        <stp>36970.T</stp>
        <stp>現在値</stp>
        <tr r="C86" s="3"/>
      </tp>
      <tp>
        <v>4263</v>
        <stp/>
        <stp>Market</stp>
        <stp>STOCK</stp>
        <stp>35490.T</stp>
        <stp>現在値</stp>
        <tr r="C81" s="3"/>
      </tp>
      <tp>
        <v>8868</v>
        <stp/>
        <stp>Market</stp>
        <stp>STOCK</stp>
        <stp>35630.T</stp>
        <stp>現在値</stp>
        <tr r="C82" s="3"/>
      </tp>
    </main>
    <main first="rtdsrv.9a0e439d503c4134b124aa8a925fc5f1">
      <tp>
        <v>1131</v>
        <stp/>
        <stp>Market</stp>
        <stp>STOCK</stp>
        <stp>34020.T</stp>
        <stp>現在値</stp>
        <tr r="C77" s="3"/>
      </tp>
      <tp>
        <v>1657</v>
        <stp/>
        <stp>Market</stp>
        <stp>STOCK</stp>
        <stp>34050.T</stp>
        <stp>現在値</stp>
        <tr r="C78" s="3"/>
      </tp>
      <tp>
        <v>1565.5</v>
        <stp/>
        <stp>Market</stp>
        <stp>STOCK</stp>
        <stp>34360.T</stp>
        <stp>現在値</stp>
        <tr r="C79" s="3"/>
      </tp>
    </main>
    <main first="rtdsrv.9a0e439d503c4134b124aa8a925fc5f1">
      <tp>
        <v>6260</v>
        <stp/>
        <stp>Market</stp>
        <stp>STOCK</stp>
        <stp>34650.T</stp>
        <stp>現在値</stp>
        <tr r="C80" s="3"/>
      </tp>
    </main>
    <main first="rtdsrv.9a0e439d503c4134b124aa8a925fc5f1">
      <tp>
        <v>936.8</v>
        <stp/>
        <stp>Market</stp>
        <stp>STOCK</stp>
        <stp>39230.T</stp>
        <stp>現在値</stp>
        <tr r="C91" s="3"/>
      </tp>
    </main>
    <main first="rtdsrv.9a0e439d503c4134b124aa8a925fc5f1">
      <tp>
        <v>912</v>
        <stp/>
        <stp>Market</stp>
        <stp>STOCK</stp>
        <stp>38610.T</stp>
        <stp>現在値</stp>
        <tr r="C90" s="3"/>
      </tp>
    </main>
    <main first="rtdsrv.9a0e439d503c4134b124aa8a925fc5f1">
      <tp>
        <v>505</v>
        <stp/>
        <stp>Market</stp>
        <stp>STOCK</stp>
        <stp>23170.T</stp>
        <stp>現在値</stp>
        <tr r="C33" s="3"/>
      </tp>
      <tp>
        <v>4483</v>
        <stp/>
        <stp>Market</stp>
        <stp>STOCK</stp>
        <stp>23270.T</stp>
        <stp>現在値</stp>
        <tr r="C34" s="3"/>
      </tp>
      <tp>
        <v>2081</v>
        <stp/>
        <stp>Market</stp>
        <stp>STOCK</stp>
        <stp>23790.T</stp>
        <stp>現在値</stp>
        <tr r="C36" s="3"/>
      </tp>
      <tp>
        <v>2190</v>
        <stp/>
        <stp>Market</stp>
        <stp>STOCK</stp>
        <stp>23710.T</stp>
        <stp>現在値</stp>
        <tr r="C35" s="3"/>
      </tp>
      <tp>
        <v>3870</v>
        <stp/>
        <stp>Market</stp>
        <stp>STOCK</stp>
        <stp>23840.T</stp>
        <stp>現在値</stp>
        <tr r="C37" s="3"/>
      </tp>
      <tp>
        <v>2756</v>
        <stp/>
        <stp>Market</stp>
        <stp>STOCK</stp>
        <stp>22010.T</stp>
        <stp>現在値</stp>
        <tr r="C27" s="3"/>
      </tp>
      <tp>
        <v>3070</v>
        <stp/>
        <stp>Market</stp>
        <stp>STOCK</stp>
        <stp>22290.T</stp>
        <stp>現在値</stp>
        <tr r="C29" s="3"/>
      </tp>
      <tp>
        <v>1790.5</v>
        <stp/>
        <stp>Market</stp>
        <stp>STOCK</stp>
        <stp>22220.T</stp>
        <stp>現在値</stp>
        <tr r="C28" s="3"/>
      </tp>
      <tp>
        <v>3715</v>
        <stp/>
        <stp>Market</stp>
        <stp>STOCK</stp>
        <stp>22690.T</stp>
        <stp>現在値</stp>
        <tr r="C32" s="3"/>
      </tp>
      <tp>
        <v>4054</v>
        <stp/>
        <stp>Market</stp>
        <stp>STOCK</stp>
        <stp>22640.T</stp>
        <stp>現在値</stp>
        <tr r="C30" s="3"/>
      </tp>
      <tp>
        <v>2510</v>
        <stp/>
        <stp>Market</stp>
        <stp>STOCK</stp>
        <stp>22670.T</stp>
        <stp>現在値</stp>
        <tr r="C31" s="3"/>
      </tp>
      <tp>
        <v>999</v>
        <stp/>
        <stp>Market</stp>
        <stp>STOCK</stp>
        <stp>21240.T</stp>
        <stp>現在値</stp>
        <tr r="C22" s="3"/>
      </tp>
      <tp>
        <v>717.1</v>
        <stp/>
        <stp>Market</stp>
        <stp>STOCK</stp>
        <stp>21270.T</stp>
        <stp>現在値</stp>
        <tr r="C23" s="3"/>
      </tp>
      <tp>
        <v>1889</v>
        <stp/>
        <stp>Market</stp>
        <stp>STOCK</stp>
        <stp>21540.T</stp>
        <stp>現在値</stp>
        <tr r="C24" s="3"/>
      </tp>
      <tp>
        <v>2059</v>
        <stp/>
        <stp>Market</stp>
        <stp>STOCK</stp>
        <stp>21680.T</stp>
        <stp>現在値</stp>
        <tr r="C25" s="3"/>
      </tp>
      <tp>
        <v>275</v>
        <stp/>
        <stp>Market</stp>
        <stp>STOCK</stp>
        <stp>21810.T</stp>
        <stp>現在値</stp>
        <tr r="C26" s="3"/>
      </tp>
      <tp>
        <v>6750</v>
        <stp/>
        <stp>Market</stp>
        <stp>STOCK</stp>
        <stp>27020.T</stp>
        <stp>現在値</stp>
        <tr r="C46" s="3"/>
      </tp>
      <tp>
        <v>1733</v>
        <stp/>
        <stp>Market</stp>
        <stp>STOCK</stp>
        <stp>27260.T</stp>
        <stp>現在値</stp>
        <tr r="C47" s="3"/>
      </tp>
      <tp>
        <v>5707</v>
        <stp/>
        <stp>Market</stp>
        <stp>STOCK</stp>
        <stp>27680.T</stp>
        <stp>現在値</stp>
        <tr r="C50" s="3"/>
      </tp>
      <tp>
        <v>3605</v>
        <stp/>
        <stp>Market</stp>
        <stp>STOCK</stp>
        <stp>27600.T</stp>
        <stp>現在値</stp>
        <tr r="C48" s="3"/>
      </tp>
      <tp>
        <v>1865</v>
        <stp/>
        <stp>Market</stp>
        <stp>STOCK</stp>
        <stp>27670.T</stp>
        <stp>現在値</stp>
        <tr r="C49" s="3"/>
      </tp>
      <tp>
        <v>1378</v>
        <stp/>
        <stp>Market</stp>
        <stp>STOCK</stp>
        <stp>26780.T</stp>
        <stp>現在値</stp>
        <tr r="C44" s="3"/>
      </tp>
      <tp>
        <v>2448</v>
        <stp/>
        <stp>Market</stp>
        <stp>STOCK</stp>
        <stp>26700.T</stp>
        <stp>現在値</stp>
        <tr r="C43" s="3"/>
      </tp>
      <tp>
        <v>2773</v>
        <stp/>
        <stp>Market</stp>
        <stp>STOCK</stp>
        <stp>26850.T</stp>
        <stp>現在値</stp>
        <tr r="C45" s="3"/>
      </tp>
      <tp>
        <v>2466.5</v>
        <stp/>
        <stp>Market</stp>
        <stp>STOCK</stp>
        <stp>25030.T</stp>
        <stp>現在値</stp>
        <tr r="C40" s="3"/>
      </tp>
      <tp>
        <v>1630</v>
        <stp/>
        <stp>Market</stp>
        <stp>STOCK</stp>
        <stp>25020.T</stp>
        <stp>現在値</stp>
        <tr r="C39" s="3"/>
      </tp>
      <tp>
        <v>1605.5</v>
        <stp/>
        <stp>Market</stp>
        <stp>STOCK</stp>
        <stp>25310.T</stp>
        <stp>現在値</stp>
        <tr r="C41" s="3"/>
      </tp>
    </main>
    <main first="rtdsrv.9a0e439d503c4134b124aa8a925fc5f1">
      <tp>
        <v>4937</v>
        <stp/>
        <stp>Market</stp>
        <stp>STOCK</stp>
        <stp>25870.T</stp>
        <stp>現在値</stp>
        <tr r="C42" s="3"/>
      </tp>
    </main>
    <main first="rtdsrv.9a0e439d503c4134b124aa8a925fc5f1">
      <tp>
        <v>1955</v>
        <stp/>
        <stp>Market</stp>
        <stp>STOCK</stp>
        <stp>24130.T</stp>
        <stp>現在値</stp>
        <tr r="C38" s="3"/>
      </tp>
    </main>
    <main first="rtdsrv.9a0e439d503c4134b124aa8a925fc5f1">
      <tp>
        <v>5574</v>
        <stp/>
        <stp>Market</stp>
        <stp>STOCK</stp>
        <stp>29140.T</stp>
        <stp>現在値</stp>
        <tr r="C57" s="3"/>
      </tp>
    </main>
    <main first="rtdsrv.9a0e439d503c4134b124aa8a925fc5f1">
      <tp>
        <v>2761</v>
        <stp/>
        <stp>Market</stp>
        <stp>STOCK</stp>
        <stp>28110.T</stp>
        <stp>現在値</stp>
        <tr r="C53" s="3"/>
      </tp>
      <tp>
        <v>1438</v>
        <stp/>
        <stp>Market</stp>
        <stp>STOCK</stp>
        <stp>28010.T</stp>
        <stp>現在値</stp>
        <tr r="C51" s="3"/>
      </tp>
      <tp>
        <v>3467</v>
        <stp/>
        <stp>Market</stp>
        <stp>STOCK</stp>
        <stp>28020.T</stp>
        <stp>現在値</stp>
        <tr r="C52" s="3"/>
      </tp>
    </main>
    <main first="rtdsrv.9a0e439d503c4134b124aa8a925fc5f1">
      <tp>
        <v>1909.5</v>
        <stp/>
        <stp>Market</stp>
        <stp>STOCK</stp>
        <stp>28710.T</stp>
        <stp>現在値</stp>
        <tr r="C54" s="3"/>
      </tp>
      <tp>
        <v>11140</v>
        <stp/>
        <stp>Market</stp>
        <stp>STOCK</stp>
        <stp>28750.T</stp>
        <stp>現在値</stp>
        <tr r="C55" s="3"/>
      </tp>
    </main>
    <main first="rtdsrv.9a0e439d503c4134b124aa8a925fc5f1">
      <tp>
        <v>3098</v>
        <stp/>
        <stp>Market</stp>
        <stp>STOCK</stp>
        <stp>28970.T</stp>
        <stp>現在値</stp>
        <tr r="C56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8EDF25-1FD0-4250-9B68-F626BAD04FB0}" autoFormatId="20" applyNumberFormats="0" applyBorderFormats="0" applyFontFormats="0" applyPatternFormats="0" applyAlignmentFormats="0" applyWidthHeightFormats="0">
  <queryTableRefresh nextId="7">
    <queryTableFields count="6">
      <queryTableField id="1" name="コード" tableColumnId="1"/>
      <queryTableField id="2" name="市場区分" tableColumnId="2"/>
      <queryTableField id="3" name="Column3" tableColumnId="3"/>
      <queryTableField id="4" name="Column4" tableColumnId="4"/>
      <queryTableField id="5" name="銘柄名" tableColumnId="5"/>
      <queryTableField id="6" name="累積採用回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1D924-61C0-40A7-9737-A63DC851B140}" name="_400_j_pdf" displayName="_400_j_pdf" ref="A1:F400" tableType="queryTable" totalsRowShown="0">
  <autoFilter ref="A1:F400" xr:uid="{4A51D924-61C0-40A7-9737-A63DC851B140}"/>
  <tableColumns count="6">
    <tableColumn id="1" xr3:uid="{9AA1C7CB-6CC8-48AB-8430-98B57203E198}" uniqueName="1" name="コード" queryTableFieldId="1"/>
    <tableColumn id="2" xr3:uid="{A5E74478-4C93-451F-A7CD-6F321C82F35B}" uniqueName="2" name="市場区分" queryTableFieldId="2" dataDxfId="7"/>
    <tableColumn id="3" xr3:uid="{14B63A11-3E7F-4E39-825C-CAC6A2A7D912}" uniqueName="3" name="Column3" queryTableFieldId="3" dataDxfId="6"/>
    <tableColumn id="4" xr3:uid="{BC441607-981C-4838-88AD-A4B015454AD4}" uniqueName="4" name="Column4" queryTableFieldId="4" dataDxfId="5"/>
    <tableColumn id="5" xr3:uid="{936BC065-D88E-4FAB-A23B-550865FD0AF3}" uniqueName="5" name="銘柄名" queryTableFieldId="5" dataDxfId="4"/>
    <tableColumn id="6" xr3:uid="{3C25A957-0C92-42B5-BA3C-7F68FE2C1BE9}" uniqueName="6" name="累積採用回数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57402-2392-40F2-9D33-091285329186}" name="jpx400chart" displayName="jpx400chart" ref="A1:E399" totalsRowShown="0">
  <autoFilter ref="A1:E399" xr:uid="{D8C57402-2392-40F2-9D33-091285329186}"/>
  <tableColumns count="5">
    <tableColumn id="1" xr3:uid="{4837EF8F-2684-465A-8774-03695F688F0C}" name="コード">
      <calculatedColumnFormula>_400_j_pdf[[#This Row],[コード]]</calculatedColumnFormula>
    </tableColumn>
    <tableColumn id="2" xr3:uid="{6CB16DD1-A5EA-4112-9A36-A1B6CEEC7290}" name="銘柄名称" dataDxfId="3">
      <calculatedColumnFormula array="1">_xll.RssMarket(jpx400chart[[#This Row],[コード]],jpx400chart[[#Headers],[銘柄名称]])</calculatedColumnFormula>
    </tableColumn>
    <tableColumn id="3" xr3:uid="{4D937A80-5854-411E-A736-268D7974BA61}" name="現在値" dataDxfId="2">
      <calculatedColumnFormula array="1">_xll.RssMarket(jpx400chart[[#This Row],[コード]],jpx400chart[[#Headers],[現在値]])</calculatedColumnFormula>
    </tableColumn>
    <tableColumn id="4" xr3:uid="{ECCB69A3-12F3-486F-B73D-20B7412945A0}" name="ヘッダー行" dataDxfId="1">
      <calculatedColumnFormula>"'[jpx400_data.xlsm]"&amp;jpx400chart[[#This Row],[コード]]&amp;"'!"&amp;"tbl"&amp;jpx400chart[[#This Row],[コード]]&amp;"_[#見出し]"</calculatedColumnFormula>
    </tableColumn>
    <tableColumn id="5" xr3:uid="{78827B3C-07D8-4BCD-A260-25FB65C80513}" name="チャート関数" dataDxfId="0">
      <calculatedColumnFormula array="1">_xll.RssChartPast(INDIRECT(jpx400chart[[#This Row],[ヘッダー行]]), jpx400chart[[#This Row],[コード]], "D",20160401,3000)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jpx.co.jp/markets/indices/jpx-nikkei400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410E-2F13-4646-9553-65A6AADBE15D}">
  <sheetPr codeName="Sheet1"/>
  <dimension ref="A1:H400"/>
  <sheetViews>
    <sheetView workbookViewId="0">
      <selection sqref="A1:A1048576"/>
    </sheetView>
  </sheetViews>
  <sheetFormatPr defaultRowHeight="18" x14ac:dyDescent="0.45"/>
  <cols>
    <col min="1" max="1" width="9.3984375" bestFit="1" customWidth="1"/>
    <col min="2" max="2" width="12.8984375" bestFit="1" customWidth="1"/>
    <col min="3" max="3" width="42" bestFit="1" customWidth="1"/>
    <col min="4" max="4" width="13" bestFit="1" customWidth="1"/>
    <col min="5" max="5" width="56.19921875" bestFit="1" customWidth="1"/>
    <col min="6" max="6" width="15.19921875" bestFit="1" customWidth="1"/>
  </cols>
  <sheetData>
    <row r="1" spans="1:8" x14ac:dyDescent="0.45">
      <c r="A1" t="s">
        <v>360</v>
      </c>
      <c r="B1" t="s">
        <v>361</v>
      </c>
      <c r="C1" t="s">
        <v>362</v>
      </c>
      <c r="D1" t="s">
        <v>363</v>
      </c>
      <c r="E1" t="s">
        <v>3</v>
      </c>
      <c r="F1" t="s">
        <v>364</v>
      </c>
      <c r="H1" s="1" t="s">
        <v>412</v>
      </c>
    </row>
    <row r="2" spans="1:8" x14ac:dyDescent="0.45">
      <c r="A2">
        <v>1332</v>
      </c>
      <c r="B2" t="s">
        <v>365</v>
      </c>
      <c r="E2" t="s">
        <v>4</v>
      </c>
      <c r="F2">
        <v>10</v>
      </c>
    </row>
    <row r="3" spans="1:8" x14ac:dyDescent="0.45">
      <c r="A3">
        <v>1414</v>
      </c>
      <c r="B3" t="s">
        <v>365</v>
      </c>
      <c r="E3" t="s">
        <v>5</v>
      </c>
      <c r="F3">
        <v>4</v>
      </c>
    </row>
    <row r="4" spans="1:8" x14ac:dyDescent="0.45">
      <c r="A4">
        <v>1419</v>
      </c>
      <c r="B4" t="s">
        <v>365</v>
      </c>
      <c r="E4" t="s">
        <v>6</v>
      </c>
      <c r="F4">
        <v>3</v>
      </c>
    </row>
    <row r="5" spans="1:8" x14ac:dyDescent="0.45">
      <c r="A5">
        <v>1518</v>
      </c>
      <c r="B5" t="s">
        <v>365</v>
      </c>
      <c r="E5" t="s">
        <v>7</v>
      </c>
      <c r="F5">
        <v>3</v>
      </c>
    </row>
    <row r="6" spans="1:8" x14ac:dyDescent="0.45">
      <c r="A6">
        <v>1605</v>
      </c>
      <c r="B6" t="s">
        <v>365</v>
      </c>
      <c r="E6" t="s">
        <v>366</v>
      </c>
      <c r="F6">
        <v>13</v>
      </c>
    </row>
    <row r="7" spans="1:8" x14ac:dyDescent="0.45">
      <c r="A7">
        <v>1662</v>
      </c>
      <c r="B7" t="s">
        <v>365</v>
      </c>
      <c r="E7" t="s">
        <v>8</v>
      </c>
      <c r="F7">
        <v>2</v>
      </c>
    </row>
    <row r="8" spans="1:8" x14ac:dyDescent="0.45">
      <c r="A8">
        <v>1719</v>
      </c>
      <c r="B8" t="s">
        <v>365</v>
      </c>
      <c r="E8" t="s">
        <v>9</v>
      </c>
      <c r="F8">
        <v>12</v>
      </c>
    </row>
    <row r="9" spans="1:8" x14ac:dyDescent="0.45">
      <c r="A9">
        <v>1721</v>
      </c>
      <c r="B9" t="s">
        <v>365</v>
      </c>
      <c r="E9" t="s">
        <v>10</v>
      </c>
      <c r="F9">
        <v>13</v>
      </c>
    </row>
    <row r="10" spans="1:8" x14ac:dyDescent="0.45">
      <c r="A10">
        <v>1801</v>
      </c>
      <c r="B10" t="s">
        <v>365</v>
      </c>
      <c r="E10" t="s">
        <v>11</v>
      </c>
      <c r="F10">
        <v>13</v>
      </c>
    </row>
    <row r="11" spans="1:8" x14ac:dyDescent="0.45">
      <c r="A11">
        <v>1802</v>
      </c>
      <c r="B11" t="s">
        <v>365</v>
      </c>
      <c r="E11" t="s">
        <v>12</v>
      </c>
      <c r="F11">
        <v>11</v>
      </c>
    </row>
    <row r="12" spans="1:8" x14ac:dyDescent="0.45">
      <c r="A12">
        <v>1808</v>
      </c>
      <c r="B12" t="s">
        <v>365</v>
      </c>
      <c r="E12" t="s">
        <v>13</v>
      </c>
      <c r="F12">
        <v>13</v>
      </c>
    </row>
    <row r="13" spans="1:8" x14ac:dyDescent="0.45">
      <c r="A13">
        <v>1812</v>
      </c>
      <c r="B13" t="s">
        <v>365</v>
      </c>
      <c r="E13" t="s">
        <v>14</v>
      </c>
      <c r="F13">
        <v>13</v>
      </c>
    </row>
    <row r="14" spans="1:8" x14ac:dyDescent="0.45">
      <c r="A14">
        <v>1878</v>
      </c>
      <c r="B14" t="s">
        <v>365</v>
      </c>
      <c r="E14" t="s">
        <v>15</v>
      </c>
      <c r="F14">
        <v>13</v>
      </c>
    </row>
    <row r="15" spans="1:8" x14ac:dyDescent="0.45">
      <c r="A15">
        <v>1911</v>
      </c>
      <c r="B15" t="s">
        <v>365</v>
      </c>
      <c r="E15" t="s">
        <v>16</v>
      </c>
      <c r="F15">
        <v>13</v>
      </c>
    </row>
    <row r="16" spans="1:8" x14ac:dyDescent="0.45">
      <c r="A16">
        <v>1925</v>
      </c>
      <c r="B16" t="s">
        <v>365</v>
      </c>
      <c r="E16" t="s">
        <v>17</v>
      </c>
      <c r="F16">
        <v>13</v>
      </c>
    </row>
    <row r="17" spans="1:6" x14ac:dyDescent="0.45">
      <c r="A17">
        <v>1928</v>
      </c>
      <c r="B17" t="s">
        <v>365</v>
      </c>
      <c r="E17" t="s">
        <v>18</v>
      </c>
      <c r="F17">
        <v>13</v>
      </c>
    </row>
    <row r="18" spans="1:6" x14ac:dyDescent="0.45">
      <c r="A18">
        <v>1942</v>
      </c>
      <c r="B18" t="s">
        <v>365</v>
      </c>
      <c r="E18" t="s">
        <v>19</v>
      </c>
      <c r="F18">
        <v>5</v>
      </c>
    </row>
    <row r="19" spans="1:6" x14ac:dyDescent="0.45">
      <c r="A19">
        <v>1951</v>
      </c>
      <c r="B19" t="s">
        <v>365</v>
      </c>
      <c r="E19" t="s">
        <v>20</v>
      </c>
      <c r="F19">
        <v>13</v>
      </c>
    </row>
    <row r="20" spans="1:6" x14ac:dyDescent="0.45">
      <c r="A20">
        <v>1959</v>
      </c>
      <c r="B20" t="s">
        <v>365</v>
      </c>
      <c r="E20" t="s">
        <v>367</v>
      </c>
      <c r="F20">
        <v>10</v>
      </c>
    </row>
    <row r="21" spans="1:6" x14ac:dyDescent="0.45">
      <c r="A21">
        <v>1969</v>
      </c>
      <c r="B21" t="s">
        <v>365</v>
      </c>
      <c r="E21" t="s">
        <v>21</v>
      </c>
      <c r="F21">
        <v>2</v>
      </c>
    </row>
    <row r="22" spans="1:6" x14ac:dyDescent="0.45">
      <c r="A22">
        <v>2124</v>
      </c>
      <c r="B22" t="s">
        <v>365</v>
      </c>
      <c r="E22" t="s">
        <v>22</v>
      </c>
      <c r="F22">
        <v>3</v>
      </c>
    </row>
    <row r="23" spans="1:6" x14ac:dyDescent="0.45">
      <c r="A23">
        <v>2127</v>
      </c>
      <c r="B23" t="s">
        <v>365</v>
      </c>
      <c r="E23" t="s">
        <v>23</v>
      </c>
      <c r="F23">
        <v>10</v>
      </c>
    </row>
    <row r="24" spans="1:6" x14ac:dyDescent="0.45">
      <c r="A24">
        <v>2154</v>
      </c>
      <c r="B24" t="s">
        <v>365</v>
      </c>
      <c r="E24" t="s">
        <v>24</v>
      </c>
      <c r="F24">
        <v>1</v>
      </c>
    </row>
    <row r="25" spans="1:6" x14ac:dyDescent="0.45">
      <c r="A25">
        <v>2168</v>
      </c>
      <c r="B25" t="s">
        <v>365</v>
      </c>
      <c r="E25" t="s">
        <v>25</v>
      </c>
      <c r="F25">
        <v>3</v>
      </c>
    </row>
    <row r="26" spans="1:6" x14ac:dyDescent="0.45">
      <c r="A26">
        <v>2181</v>
      </c>
      <c r="B26" t="s">
        <v>365</v>
      </c>
      <c r="E26" t="s">
        <v>26</v>
      </c>
      <c r="F26">
        <v>12</v>
      </c>
    </row>
    <row r="27" spans="1:6" x14ac:dyDescent="0.45">
      <c r="A27">
        <v>2201</v>
      </c>
      <c r="B27" t="s">
        <v>365</v>
      </c>
      <c r="E27" t="s">
        <v>27</v>
      </c>
      <c r="F27">
        <v>8</v>
      </c>
    </row>
    <row r="28" spans="1:6" x14ac:dyDescent="0.45">
      <c r="A28">
        <v>2222</v>
      </c>
      <c r="B28" t="s">
        <v>365</v>
      </c>
      <c r="E28" t="s">
        <v>28</v>
      </c>
      <c r="F28">
        <v>3</v>
      </c>
    </row>
    <row r="29" spans="1:6" x14ac:dyDescent="0.45">
      <c r="A29">
        <v>2229</v>
      </c>
      <c r="B29" t="s">
        <v>365</v>
      </c>
      <c r="E29" t="s">
        <v>29</v>
      </c>
      <c r="F29">
        <v>12</v>
      </c>
    </row>
    <row r="30" spans="1:6" x14ac:dyDescent="0.45">
      <c r="A30">
        <v>2264</v>
      </c>
      <c r="B30" t="s">
        <v>365</v>
      </c>
      <c r="E30" t="s">
        <v>30</v>
      </c>
      <c r="F30">
        <v>6</v>
      </c>
    </row>
    <row r="31" spans="1:6" x14ac:dyDescent="0.45">
      <c r="A31">
        <v>2267</v>
      </c>
      <c r="B31" t="s">
        <v>365</v>
      </c>
      <c r="E31" t="s">
        <v>31</v>
      </c>
      <c r="F31">
        <v>13</v>
      </c>
    </row>
    <row r="32" spans="1:6" x14ac:dyDescent="0.45">
      <c r="A32">
        <v>2269</v>
      </c>
      <c r="B32" t="s">
        <v>365</v>
      </c>
      <c r="E32" t="s">
        <v>32</v>
      </c>
      <c r="F32">
        <v>13</v>
      </c>
    </row>
    <row r="33" spans="1:6" x14ac:dyDescent="0.45">
      <c r="A33">
        <v>2317</v>
      </c>
      <c r="B33" t="s">
        <v>365</v>
      </c>
      <c r="E33" t="s">
        <v>33</v>
      </c>
      <c r="F33">
        <v>6</v>
      </c>
    </row>
    <row r="34" spans="1:6" x14ac:dyDescent="0.45">
      <c r="A34">
        <v>2327</v>
      </c>
      <c r="B34" t="s">
        <v>365</v>
      </c>
      <c r="E34" t="s">
        <v>34</v>
      </c>
      <c r="F34">
        <v>9</v>
      </c>
    </row>
    <row r="35" spans="1:6" x14ac:dyDescent="0.45">
      <c r="A35">
        <v>2371</v>
      </c>
      <c r="B35" t="s">
        <v>365</v>
      </c>
      <c r="E35" t="s">
        <v>35</v>
      </c>
      <c r="F35">
        <v>13</v>
      </c>
    </row>
    <row r="36" spans="1:6" x14ac:dyDescent="0.45">
      <c r="A36">
        <v>2379</v>
      </c>
      <c r="B36" t="s">
        <v>365</v>
      </c>
      <c r="E36" t="s">
        <v>36</v>
      </c>
      <c r="F36">
        <v>10</v>
      </c>
    </row>
    <row r="37" spans="1:6" x14ac:dyDescent="0.45">
      <c r="A37">
        <v>2384</v>
      </c>
      <c r="B37" t="s">
        <v>365</v>
      </c>
      <c r="E37" t="s">
        <v>37</v>
      </c>
      <c r="F37">
        <v>4</v>
      </c>
    </row>
    <row r="38" spans="1:6" x14ac:dyDescent="0.45">
      <c r="A38">
        <v>2413</v>
      </c>
      <c r="B38" t="s">
        <v>365</v>
      </c>
      <c r="E38" t="s">
        <v>38</v>
      </c>
      <c r="F38">
        <v>13</v>
      </c>
    </row>
    <row r="39" spans="1:6" x14ac:dyDescent="0.45">
      <c r="A39">
        <v>2502</v>
      </c>
      <c r="B39" t="s">
        <v>365</v>
      </c>
      <c r="E39" t="s">
        <v>39</v>
      </c>
      <c r="F39">
        <v>13</v>
      </c>
    </row>
    <row r="40" spans="1:6" x14ac:dyDescent="0.45">
      <c r="A40">
        <v>2503</v>
      </c>
      <c r="B40" t="s">
        <v>365</v>
      </c>
      <c r="E40" t="s">
        <v>40</v>
      </c>
      <c r="F40">
        <v>13</v>
      </c>
    </row>
    <row r="41" spans="1:6" x14ac:dyDescent="0.45">
      <c r="A41">
        <v>2531</v>
      </c>
      <c r="B41" t="s">
        <v>365</v>
      </c>
      <c r="E41" t="s">
        <v>41</v>
      </c>
      <c r="F41">
        <v>4</v>
      </c>
    </row>
    <row r="42" spans="1:6" x14ac:dyDescent="0.45">
      <c r="A42">
        <v>2587</v>
      </c>
      <c r="B42" t="s">
        <v>365</v>
      </c>
      <c r="E42" t="s">
        <v>42</v>
      </c>
      <c r="F42">
        <v>9</v>
      </c>
    </row>
    <row r="43" spans="1:6" x14ac:dyDescent="0.45">
      <c r="A43">
        <v>2670</v>
      </c>
      <c r="B43" t="s">
        <v>365</v>
      </c>
      <c r="E43" t="s">
        <v>43</v>
      </c>
      <c r="F43">
        <v>13</v>
      </c>
    </row>
    <row r="44" spans="1:6" x14ac:dyDescent="0.45">
      <c r="A44">
        <v>2678</v>
      </c>
      <c r="B44" t="s">
        <v>365</v>
      </c>
      <c r="E44" t="s">
        <v>44</v>
      </c>
      <c r="F44">
        <v>3</v>
      </c>
    </row>
    <row r="45" spans="1:6" x14ac:dyDescent="0.45">
      <c r="A45">
        <v>2685</v>
      </c>
      <c r="B45" t="s">
        <v>365</v>
      </c>
      <c r="E45" t="s">
        <v>368</v>
      </c>
      <c r="F45">
        <v>5</v>
      </c>
    </row>
    <row r="46" spans="1:6" x14ac:dyDescent="0.45">
      <c r="A46">
        <v>2702</v>
      </c>
      <c r="B46" t="s">
        <v>369</v>
      </c>
      <c r="E46" t="s">
        <v>45</v>
      </c>
      <c r="F46">
        <v>9</v>
      </c>
    </row>
    <row r="47" spans="1:6" x14ac:dyDescent="0.45">
      <c r="A47">
        <v>2726</v>
      </c>
      <c r="B47" t="s">
        <v>365</v>
      </c>
      <c r="E47" t="s">
        <v>46</v>
      </c>
      <c r="F47">
        <v>4</v>
      </c>
    </row>
    <row r="48" spans="1:6" x14ac:dyDescent="0.45">
      <c r="A48">
        <v>2760</v>
      </c>
      <c r="B48" t="s">
        <v>365</v>
      </c>
      <c r="E48" t="s">
        <v>47</v>
      </c>
      <c r="F48">
        <v>2</v>
      </c>
    </row>
    <row r="49" spans="1:6" x14ac:dyDescent="0.45">
      <c r="A49">
        <v>2767</v>
      </c>
      <c r="B49" t="s">
        <v>365</v>
      </c>
      <c r="E49" t="s">
        <v>48</v>
      </c>
      <c r="F49">
        <v>2</v>
      </c>
    </row>
    <row r="50" spans="1:6" x14ac:dyDescent="0.45">
      <c r="A50">
        <v>2768</v>
      </c>
      <c r="B50" t="s">
        <v>365</v>
      </c>
      <c r="E50" t="s">
        <v>49</v>
      </c>
      <c r="F50">
        <v>13</v>
      </c>
    </row>
    <row r="51" spans="1:6" x14ac:dyDescent="0.45">
      <c r="A51">
        <v>2801</v>
      </c>
      <c r="B51" t="s">
        <v>365</v>
      </c>
      <c r="E51" t="s">
        <v>50</v>
      </c>
      <c r="F51">
        <v>13</v>
      </c>
    </row>
    <row r="52" spans="1:6" x14ac:dyDescent="0.45">
      <c r="A52">
        <v>2802</v>
      </c>
      <c r="B52" t="s">
        <v>365</v>
      </c>
      <c r="E52" t="s">
        <v>51</v>
      </c>
      <c r="F52">
        <v>13</v>
      </c>
    </row>
    <row r="53" spans="1:6" x14ac:dyDescent="0.45">
      <c r="A53">
        <v>2811</v>
      </c>
      <c r="B53" t="s">
        <v>365</v>
      </c>
      <c r="E53" t="s">
        <v>52</v>
      </c>
      <c r="F53">
        <v>4</v>
      </c>
    </row>
    <row r="54" spans="1:6" x14ac:dyDescent="0.45">
      <c r="A54">
        <v>2871</v>
      </c>
      <c r="B54" t="s">
        <v>365</v>
      </c>
      <c r="E54" t="s">
        <v>53</v>
      </c>
      <c r="F54">
        <v>13</v>
      </c>
    </row>
    <row r="55" spans="1:6" x14ac:dyDescent="0.45">
      <c r="A55">
        <v>2875</v>
      </c>
      <c r="B55" t="s">
        <v>365</v>
      </c>
      <c r="E55" t="s">
        <v>54</v>
      </c>
      <c r="F55">
        <v>13</v>
      </c>
    </row>
    <row r="56" spans="1:6" x14ac:dyDescent="0.45">
      <c r="A56">
        <v>2897</v>
      </c>
      <c r="B56" t="s">
        <v>365</v>
      </c>
      <c r="C56" t="s">
        <v>55</v>
      </c>
      <c r="F56">
        <v>13</v>
      </c>
    </row>
    <row r="57" spans="1:6" x14ac:dyDescent="0.45">
      <c r="A57">
        <v>2914</v>
      </c>
      <c r="B57" t="s">
        <v>365</v>
      </c>
      <c r="C57" t="s">
        <v>56</v>
      </c>
      <c r="F57">
        <v>13</v>
      </c>
    </row>
    <row r="58" spans="1:6" x14ac:dyDescent="0.45">
      <c r="A58">
        <v>3003</v>
      </c>
      <c r="B58" t="s">
        <v>365</v>
      </c>
      <c r="C58" t="s">
        <v>57</v>
      </c>
      <c r="F58">
        <v>12</v>
      </c>
    </row>
    <row r="59" spans="1:6" x14ac:dyDescent="0.45">
      <c r="A59">
        <v>3038</v>
      </c>
      <c r="B59" t="s">
        <v>365</v>
      </c>
      <c r="C59" t="s">
        <v>58</v>
      </c>
      <c r="F59">
        <v>9</v>
      </c>
    </row>
    <row r="60" spans="1:6" x14ac:dyDescent="0.45">
      <c r="A60">
        <v>3064</v>
      </c>
      <c r="B60" t="s">
        <v>365</v>
      </c>
      <c r="C60" t="s">
        <v>370</v>
      </c>
      <c r="F60">
        <v>13</v>
      </c>
    </row>
    <row r="61" spans="1:6" x14ac:dyDescent="0.45">
      <c r="A61">
        <v>3086</v>
      </c>
      <c r="B61" t="s">
        <v>365</v>
      </c>
      <c r="C61" t="s">
        <v>371</v>
      </c>
      <c r="D61" t="s">
        <v>372</v>
      </c>
      <c r="F61">
        <v>9</v>
      </c>
    </row>
    <row r="62" spans="1:6" x14ac:dyDescent="0.45">
      <c r="A62">
        <v>3088</v>
      </c>
      <c r="B62" t="s">
        <v>365</v>
      </c>
      <c r="C62" t="s">
        <v>59</v>
      </c>
      <c r="F62">
        <v>13</v>
      </c>
    </row>
    <row r="63" spans="1:6" x14ac:dyDescent="0.45">
      <c r="A63">
        <v>3092</v>
      </c>
      <c r="B63" t="s">
        <v>365</v>
      </c>
      <c r="C63" t="s">
        <v>373</v>
      </c>
      <c r="F63">
        <v>13</v>
      </c>
    </row>
    <row r="64" spans="1:6" x14ac:dyDescent="0.45">
      <c r="A64">
        <v>3107</v>
      </c>
      <c r="B64" t="s">
        <v>365</v>
      </c>
      <c r="C64" t="s">
        <v>60</v>
      </c>
      <c r="F64">
        <v>7</v>
      </c>
    </row>
    <row r="65" spans="1:6" x14ac:dyDescent="0.45">
      <c r="A65">
        <v>3116</v>
      </c>
      <c r="B65" t="s">
        <v>365</v>
      </c>
      <c r="C65" t="s">
        <v>61</v>
      </c>
      <c r="F65">
        <v>12</v>
      </c>
    </row>
    <row r="66" spans="1:6" x14ac:dyDescent="0.45">
      <c r="A66">
        <v>3132</v>
      </c>
      <c r="B66" t="s">
        <v>365</v>
      </c>
      <c r="C66" t="s">
        <v>62</v>
      </c>
      <c r="F66">
        <v>3</v>
      </c>
    </row>
    <row r="67" spans="1:6" x14ac:dyDescent="0.45">
      <c r="A67">
        <v>3148</v>
      </c>
      <c r="B67" t="s">
        <v>365</v>
      </c>
      <c r="C67" t="s">
        <v>374</v>
      </c>
      <c r="F67">
        <v>10</v>
      </c>
    </row>
    <row r="68" spans="1:6" x14ac:dyDescent="0.45">
      <c r="A68">
        <v>3186</v>
      </c>
      <c r="B68" t="s">
        <v>365</v>
      </c>
      <c r="C68" t="s">
        <v>63</v>
      </c>
      <c r="F68">
        <v>4</v>
      </c>
    </row>
    <row r="69" spans="1:6" x14ac:dyDescent="0.45">
      <c r="A69">
        <v>3231</v>
      </c>
      <c r="B69" t="s">
        <v>365</v>
      </c>
      <c r="C69" t="s">
        <v>64</v>
      </c>
      <c r="F69">
        <v>13</v>
      </c>
    </row>
    <row r="70" spans="1:6" x14ac:dyDescent="0.45">
      <c r="A70">
        <v>3288</v>
      </c>
      <c r="B70" t="s">
        <v>365</v>
      </c>
      <c r="C70" t="s">
        <v>65</v>
      </c>
      <c r="F70">
        <v>9</v>
      </c>
    </row>
    <row r="71" spans="1:6" x14ac:dyDescent="0.45">
      <c r="A71">
        <v>3289</v>
      </c>
      <c r="B71" t="s">
        <v>365</v>
      </c>
      <c r="C71" t="s">
        <v>66</v>
      </c>
      <c r="F71">
        <v>13</v>
      </c>
    </row>
    <row r="72" spans="1:6" x14ac:dyDescent="0.45">
      <c r="A72">
        <v>3291</v>
      </c>
      <c r="B72" t="s">
        <v>365</v>
      </c>
      <c r="C72" t="s">
        <v>67</v>
      </c>
      <c r="F72">
        <v>13</v>
      </c>
    </row>
    <row r="73" spans="1:6" x14ac:dyDescent="0.45">
      <c r="A73">
        <v>3349</v>
      </c>
      <c r="B73" t="s">
        <v>365</v>
      </c>
      <c r="C73" t="s">
        <v>68</v>
      </c>
      <c r="F73">
        <v>13</v>
      </c>
    </row>
    <row r="74" spans="1:6" x14ac:dyDescent="0.45">
      <c r="A74">
        <v>3360</v>
      </c>
      <c r="B74" t="s">
        <v>365</v>
      </c>
      <c r="C74" t="s">
        <v>69</v>
      </c>
      <c r="F74">
        <v>13</v>
      </c>
    </row>
    <row r="75" spans="1:6" x14ac:dyDescent="0.45">
      <c r="A75">
        <v>3382</v>
      </c>
      <c r="B75" t="s">
        <v>365</v>
      </c>
      <c r="C75" t="s">
        <v>70</v>
      </c>
      <c r="F75">
        <v>13</v>
      </c>
    </row>
    <row r="76" spans="1:6" x14ac:dyDescent="0.45">
      <c r="A76">
        <v>3391</v>
      </c>
      <c r="B76" t="s">
        <v>365</v>
      </c>
      <c r="C76" t="s">
        <v>71</v>
      </c>
      <c r="F76">
        <v>13</v>
      </c>
    </row>
    <row r="77" spans="1:6" x14ac:dyDescent="0.45">
      <c r="A77">
        <v>3402</v>
      </c>
      <c r="B77" t="s">
        <v>365</v>
      </c>
      <c r="C77" t="s">
        <v>72</v>
      </c>
      <c r="F77">
        <v>13</v>
      </c>
    </row>
    <row r="78" spans="1:6" x14ac:dyDescent="0.45">
      <c r="A78">
        <v>3405</v>
      </c>
      <c r="B78" t="s">
        <v>365</v>
      </c>
      <c r="C78" t="s">
        <v>73</v>
      </c>
      <c r="F78">
        <v>13</v>
      </c>
    </row>
    <row r="79" spans="1:6" x14ac:dyDescent="0.45">
      <c r="A79">
        <v>3436</v>
      </c>
      <c r="B79" t="s">
        <v>365</v>
      </c>
      <c r="C79" t="s">
        <v>375</v>
      </c>
      <c r="F79">
        <v>8</v>
      </c>
    </row>
    <row r="80" spans="1:6" x14ac:dyDescent="0.45">
      <c r="A80">
        <v>3465</v>
      </c>
      <c r="B80" t="s">
        <v>365</v>
      </c>
      <c r="C80" t="s">
        <v>74</v>
      </c>
      <c r="F80">
        <v>4</v>
      </c>
    </row>
    <row r="81" spans="1:6" x14ac:dyDescent="0.45">
      <c r="A81">
        <v>3549</v>
      </c>
      <c r="B81" t="s">
        <v>365</v>
      </c>
      <c r="C81" t="s">
        <v>75</v>
      </c>
      <c r="F81">
        <v>10</v>
      </c>
    </row>
    <row r="82" spans="1:6" x14ac:dyDescent="0.45">
      <c r="A82">
        <v>3563</v>
      </c>
      <c r="B82" t="s">
        <v>365</v>
      </c>
      <c r="C82" t="s">
        <v>376</v>
      </c>
      <c r="D82" t="s">
        <v>377</v>
      </c>
      <c r="E82" t="s">
        <v>378</v>
      </c>
      <c r="F82">
        <v>6</v>
      </c>
    </row>
    <row r="83" spans="1:6" x14ac:dyDescent="0.45">
      <c r="A83">
        <v>3626</v>
      </c>
      <c r="B83" t="s">
        <v>365</v>
      </c>
      <c r="C83" t="s">
        <v>379</v>
      </c>
      <c r="F83">
        <v>8</v>
      </c>
    </row>
    <row r="84" spans="1:6" x14ac:dyDescent="0.45">
      <c r="A84">
        <v>3635</v>
      </c>
      <c r="B84" t="s">
        <v>365</v>
      </c>
      <c r="C84" t="s">
        <v>76</v>
      </c>
      <c r="F84">
        <v>6</v>
      </c>
    </row>
    <row r="85" spans="1:6" x14ac:dyDescent="0.45">
      <c r="A85">
        <v>3659</v>
      </c>
      <c r="B85" t="s">
        <v>365</v>
      </c>
      <c r="C85" t="s">
        <v>77</v>
      </c>
      <c r="F85">
        <v>11</v>
      </c>
    </row>
    <row r="86" spans="1:6" x14ac:dyDescent="0.45">
      <c r="A86">
        <v>3697</v>
      </c>
      <c r="B86" t="s">
        <v>365</v>
      </c>
      <c r="C86" t="s">
        <v>380</v>
      </c>
      <c r="F86">
        <v>3</v>
      </c>
    </row>
    <row r="87" spans="1:6" x14ac:dyDescent="0.45">
      <c r="A87">
        <v>3765</v>
      </c>
      <c r="B87" t="s">
        <v>365</v>
      </c>
      <c r="C87" t="s">
        <v>78</v>
      </c>
      <c r="F87">
        <v>13</v>
      </c>
    </row>
    <row r="88" spans="1:6" x14ac:dyDescent="0.45">
      <c r="A88">
        <v>3769</v>
      </c>
      <c r="B88" t="s">
        <v>365</v>
      </c>
      <c r="C88" t="s">
        <v>381</v>
      </c>
      <c r="F88">
        <v>7</v>
      </c>
    </row>
    <row r="89" spans="1:6" x14ac:dyDescent="0.45">
      <c r="A89">
        <v>3774</v>
      </c>
      <c r="B89" t="s">
        <v>365</v>
      </c>
      <c r="C89" t="s">
        <v>79</v>
      </c>
      <c r="F89">
        <v>6</v>
      </c>
    </row>
    <row r="90" spans="1:6" x14ac:dyDescent="0.45">
      <c r="A90">
        <v>3861</v>
      </c>
      <c r="B90" t="s">
        <v>365</v>
      </c>
      <c r="C90" t="s">
        <v>80</v>
      </c>
      <c r="F90">
        <v>13</v>
      </c>
    </row>
    <row r="91" spans="1:6" x14ac:dyDescent="0.45">
      <c r="A91">
        <v>3923</v>
      </c>
      <c r="B91" t="s">
        <v>365</v>
      </c>
      <c r="C91" t="s">
        <v>81</v>
      </c>
      <c r="F91">
        <v>5</v>
      </c>
    </row>
    <row r="92" spans="1:6" x14ac:dyDescent="0.45">
      <c r="A92">
        <v>4004</v>
      </c>
      <c r="B92" t="s">
        <v>365</v>
      </c>
      <c r="C92" t="s">
        <v>82</v>
      </c>
      <c r="F92">
        <v>7</v>
      </c>
    </row>
    <row r="93" spans="1:6" x14ac:dyDescent="0.45">
      <c r="A93">
        <v>4021</v>
      </c>
      <c r="B93" t="s">
        <v>365</v>
      </c>
      <c r="C93" t="s">
        <v>83</v>
      </c>
      <c r="F93">
        <v>13</v>
      </c>
    </row>
    <row r="94" spans="1:6" x14ac:dyDescent="0.45">
      <c r="A94">
        <v>4042</v>
      </c>
      <c r="B94" t="s">
        <v>365</v>
      </c>
      <c r="C94" t="s">
        <v>84</v>
      </c>
      <c r="F94">
        <v>13</v>
      </c>
    </row>
    <row r="95" spans="1:6" x14ac:dyDescent="0.45">
      <c r="A95">
        <v>4062</v>
      </c>
      <c r="B95" t="s">
        <v>365</v>
      </c>
      <c r="C95" t="s">
        <v>85</v>
      </c>
      <c r="F95">
        <v>4</v>
      </c>
    </row>
    <row r="96" spans="1:6" x14ac:dyDescent="0.45">
      <c r="A96">
        <v>4063</v>
      </c>
      <c r="B96" t="s">
        <v>365</v>
      </c>
      <c r="C96" t="s">
        <v>86</v>
      </c>
      <c r="F96">
        <v>13</v>
      </c>
    </row>
    <row r="97" spans="1:6" x14ac:dyDescent="0.45">
      <c r="A97">
        <v>4088</v>
      </c>
      <c r="B97" t="s">
        <v>365</v>
      </c>
      <c r="C97" t="s">
        <v>87</v>
      </c>
      <c r="F97">
        <v>13</v>
      </c>
    </row>
    <row r="98" spans="1:6" x14ac:dyDescent="0.45">
      <c r="A98">
        <v>4091</v>
      </c>
      <c r="B98" t="s">
        <v>365</v>
      </c>
      <c r="C98" t="s">
        <v>88</v>
      </c>
      <c r="F98">
        <v>13</v>
      </c>
    </row>
    <row r="99" spans="1:6" x14ac:dyDescent="0.45">
      <c r="A99">
        <v>4151</v>
      </c>
      <c r="B99" t="s">
        <v>365</v>
      </c>
      <c r="C99" t="s">
        <v>89</v>
      </c>
      <c r="F99">
        <v>13</v>
      </c>
    </row>
    <row r="100" spans="1:6" x14ac:dyDescent="0.45">
      <c r="A100">
        <v>4182</v>
      </c>
      <c r="B100" t="s">
        <v>365</v>
      </c>
      <c r="C100" t="s">
        <v>90</v>
      </c>
      <c r="F100">
        <v>10</v>
      </c>
    </row>
    <row r="101" spans="1:6" x14ac:dyDescent="0.45">
      <c r="A101">
        <v>4183</v>
      </c>
      <c r="B101" t="s">
        <v>365</v>
      </c>
      <c r="C101" t="s">
        <v>91</v>
      </c>
      <c r="F101">
        <v>9</v>
      </c>
    </row>
    <row r="102" spans="1:6" x14ac:dyDescent="0.45">
      <c r="A102">
        <v>4186</v>
      </c>
      <c r="B102" t="s">
        <v>365</v>
      </c>
      <c r="C102" t="s">
        <v>92</v>
      </c>
      <c r="F102">
        <v>3</v>
      </c>
    </row>
    <row r="103" spans="1:6" x14ac:dyDescent="0.45">
      <c r="A103">
        <v>4188</v>
      </c>
      <c r="B103" t="s">
        <v>365</v>
      </c>
      <c r="C103" t="s">
        <v>93</v>
      </c>
      <c r="F103">
        <v>13</v>
      </c>
    </row>
    <row r="104" spans="1:6" x14ac:dyDescent="0.45">
      <c r="A104">
        <v>4194</v>
      </c>
      <c r="B104" t="s">
        <v>365</v>
      </c>
      <c r="C104" t="s">
        <v>94</v>
      </c>
      <c r="F104">
        <v>2</v>
      </c>
    </row>
    <row r="105" spans="1:6" x14ac:dyDescent="0.45">
      <c r="A105">
        <v>4202</v>
      </c>
      <c r="B105" t="s">
        <v>365</v>
      </c>
      <c r="C105" t="s">
        <v>95</v>
      </c>
      <c r="F105">
        <v>13</v>
      </c>
    </row>
    <row r="106" spans="1:6" x14ac:dyDescent="0.45">
      <c r="A106">
        <v>4203</v>
      </c>
      <c r="B106" t="s">
        <v>365</v>
      </c>
      <c r="C106" t="s">
        <v>96</v>
      </c>
      <c r="F106">
        <v>3</v>
      </c>
    </row>
    <row r="107" spans="1:6" x14ac:dyDescent="0.45">
      <c r="A107">
        <v>4204</v>
      </c>
      <c r="B107" t="s">
        <v>365</v>
      </c>
      <c r="C107" t="s">
        <v>97</v>
      </c>
      <c r="F107">
        <v>13</v>
      </c>
    </row>
    <row r="108" spans="1:6" x14ac:dyDescent="0.45">
      <c r="A108">
        <v>4307</v>
      </c>
      <c r="B108" t="s">
        <v>365</v>
      </c>
      <c r="C108" t="s">
        <v>98</v>
      </c>
      <c r="F108">
        <v>13</v>
      </c>
    </row>
    <row r="109" spans="1:6" x14ac:dyDescent="0.45">
      <c r="A109">
        <v>4385</v>
      </c>
      <c r="B109" t="s">
        <v>365</v>
      </c>
      <c r="C109" t="s">
        <v>99</v>
      </c>
      <c r="F109">
        <v>1</v>
      </c>
    </row>
    <row r="110" spans="1:6" x14ac:dyDescent="0.45">
      <c r="A110">
        <v>4401</v>
      </c>
      <c r="B110" t="s">
        <v>365</v>
      </c>
      <c r="C110" t="s">
        <v>382</v>
      </c>
      <c r="F110">
        <v>3</v>
      </c>
    </row>
    <row r="111" spans="1:6" x14ac:dyDescent="0.45">
      <c r="A111">
        <v>4403</v>
      </c>
      <c r="B111" t="s">
        <v>365</v>
      </c>
      <c r="C111" t="s">
        <v>100</v>
      </c>
      <c r="F111">
        <v>11</v>
      </c>
    </row>
    <row r="112" spans="1:6" x14ac:dyDescent="0.45">
      <c r="A112">
        <v>4452</v>
      </c>
      <c r="B112" t="s">
        <v>365</v>
      </c>
      <c r="C112" t="s">
        <v>101</v>
      </c>
      <c r="F112">
        <v>13</v>
      </c>
    </row>
    <row r="113" spans="1:6" x14ac:dyDescent="0.45">
      <c r="A113">
        <v>4503</v>
      </c>
      <c r="B113" t="s">
        <v>365</v>
      </c>
      <c r="C113" t="s">
        <v>102</v>
      </c>
      <c r="F113">
        <v>13</v>
      </c>
    </row>
    <row r="114" spans="1:6" x14ac:dyDescent="0.45">
      <c r="A114">
        <v>4507</v>
      </c>
      <c r="B114" t="s">
        <v>365</v>
      </c>
      <c r="E114" t="s">
        <v>103</v>
      </c>
      <c r="F114">
        <v>13</v>
      </c>
    </row>
    <row r="115" spans="1:6" x14ac:dyDescent="0.45">
      <c r="A115">
        <v>4516</v>
      </c>
      <c r="B115" t="s">
        <v>365</v>
      </c>
      <c r="E115" t="s">
        <v>104</v>
      </c>
      <c r="F115">
        <v>7</v>
      </c>
    </row>
    <row r="116" spans="1:6" x14ac:dyDescent="0.45">
      <c r="A116">
        <v>4519</v>
      </c>
      <c r="B116" t="s">
        <v>365</v>
      </c>
      <c r="E116" t="s">
        <v>105</v>
      </c>
      <c r="F116">
        <v>13</v>
      </c>
    </row>
    <row r="117" spans="1:6" x14ac:dyDescent="0.45">
      <c r="A117">
        <v>4523</v>
      </c>
      <c r="B117" t="s">
        <v>365</v>
      </c>
      <c r="E117" t="s">
        <v>106</v>
      </c>
      <c r="F117">
        <v>13</v>
      </c>
    </row>
    <row r="118" spans="1:6" x14ac:dyDescent="0.45">
      <c r="A118">
        <v>4527</v>
      </c>
      <c r="B118" t="s">
        <v>365</v>
      </c>
      <c r="E118" t="s">
        <v>107</v>
      </c>
      <c r="F118">
        <v>9</v>
      </c>
    </row>
    <row r="119" spans="1:6" x14ac:dyDescent="0.45">
      <c r="A119">
        <v>4528</v>
      </c>
      <c r="B119" t="s">
        <v>365</v>
      </c>
      <c r="E119" t="s">
        <v>108</v>
      </c>
      <c r="F119">
        <v>13</v>
      </c>
    </row>
    <row r="120" spans="1:6" x14ac:dyDescent="0.45">
      <c r="A120">
        <v>4543</v>
      </c>
      <c r="B120" t="s">
        <v>365</v>
      </c>
      <c r="E120" t="s">
        <v>109</v>
      </c>
      <c r="F120">
        <v>13</v>
      </c>
    </row>
    <row r="121" spans="1:6" x14ac:dyDescent="0.45">
      <c r="A121">
        <v>4568</v>
      </c>
      <c r="B121" t="s">
        <v>365</v>
      </c>
      <c r="E121" t="s">
        <v>110</v>
      </c>
      <c r="F121">
        <v>13</v>
      </c>
    </row>
    <row r="122" spans="1:6" x14ac:dyDescent="0.45">
      <c r="A122">
        <v>4578</v>
      </c>
      <c r="B122" t="s">
        <v>365</v>
      </c>
      <c r="E122" t="s">
        <v>111</v>
      </c>
      <c r="F122">
        <v>12</v>
      </c>
    </row>
    <row r="123" spans="1:6" x14ac:dyDescent="0.45">
      <c r="A123">
        <v>4587</v>
      </c>
      <c r="B123" t="s">
        <v>365</v>
      </c>
      <c r="E123" t="s">
        <v>112</v>
      </c>
      <c r="F123">
        <v>6</v>
      </c>
    </row>
    <row r="124" spans="1:6" x14ac:dyDescent="0.45">
      <c r="A124">
        <v>4612</v>
      </c>
      <c r="B124" t="s">
        <v>365</v>
      </c>
      <c r="E124" t="s">
        <v>113</v>
      </c>
      <c r="F124">
        <v>13</v>
      </c>
    </row>
    <row r="125" spans="1:6" x14ac:dyDescent="0.45">
      <c r="A125">
        <v>4613</v>
      </c>
      <c r="B125" t="s">
        <v>365</v>
      </c>
      <c r="E125" t="s">
        <v>114</v>
      </c>
      <c r="F125">
        <v>13</v>
      </c>
    </row>
    <row r="126" spans="1:6" x14ac:dyDescent="0.45">
      <c r="A126">
        <v>4626</v>
      </c>
      <c r="B126" t="s">
        <v>365</v>
      </c>
      <c r="E126" t="s">
        <v>115</v>
      </c>
      <c r="F126">
        <v>3</v>
      </c>
    </row>
    <row r="127" spans="1:6" x14ac:dyDescent="0.45">
      <c r="A127">
        <v>4661</v>
      </c>
      <c r="B127" t="s">
        <v>365</v>
      </c>
      <c r="E127" t="s">
        <v>116</v>
      </c>
      <c r="F127">
        <v>11</v>
      </c>
    </row>
    <row r="128" spans="1:6" x14ac:dyDescent="0.45">
      <c r="A128">
        <v>4666</v>
      </c>
      <c r="B128" t="s">
        <v>365</v>
      </c>
      <c r="E128" t="s">
        <v>117</v>
      </c>
      <c r="F128">
        <v>9</v>
      </c>
    </row>
    <row r="129" spans="1:6" x14ac:dyDescent="0.45">
      <c r="A129">
        <v>4680</v>
      </c>
      <c r="B129" t="s">
        <v>365</v>
      </c>
      <c r="E129" t="s">
        <v>118</v>
      </c>
      <c r="F129">
        <v>2</v>
      </c>
    </row>
    <row r="130" spans="1:6" x14ac:dyDescent="0.45">
      <c r="A130">
        <v>4681</v>
      </c>
      <c r="B130" t="s">
        <v>365</v>
      </c>
      <c r="E130" t="s">
        <v>119</v>
      </c>
      <c r="F130">
        <v>8</v>
      </c>
    </row>
    <row r="131" spans="1:6" x14ac:dyDescent="0.45">
      <c r="A131">
        <v>4684</v>
      </c>
      <c r="B131" t="s">
        <v>365</v>
      </c>
      <c r="E131" t="s">
        <v>120</v>
      </c>
      <c r="F131">
        <v>13</v>
      </c>
    </row>
    <row r="132" spans="1:6" x14ac:dyDescent="0.45">
      <c r="A132">
        <v>4686</v>
      </c>
      <c r="B132" t="s">
        <v>365</v>
      </c>
      <c r="E132" t="s">
        <v>121</v>
      </c>
      <c r="F132">
        <v>6</v>
      </c>
    </row>
    <row r="133" spans="1:6" x14ac:dyDescent="0.45">
      <c r="A133">
        <v>4689</v>
      </c>
      <c r="B133" t="s">
        <v>365</v>
      </c>
      <c r="E133" t="s">
        <v>383</v>
      </c>
      <c r="F133">
        <v>13</v>
      </c>
    </row>
    <row r="134" spans="1:6" x14ac:dyDescent="0.45">
      <c r="A134">
        <v>4704</v>
      </c>
      <c r="B134" t="s">
        <v>365</v>
      </c>
      <c r="E134" t="s">
        <v>122</v>
      </c>
      <c r="F134">
        <v>13</v>
      </c>
    </row>
    <row r="135" spans="1:6" x14ac:dyDescent="0.45">
      <c r="A135">
        <v>4716</v>
      </c>
      <c r="B135" t="s">
        <v>369</v>
      </c>
      <c r="E135" t="s">
        <v>123</v>
      </c>
      <c r="F135">
        <v>13</v>
      </c>
    </row>
    <row r="136" spans="1:6" x14ac:dyDescent="0.45">
      <c r="A136">
        <v>4722</v>
      </c>
      <c r="B136" t="s">
        <v>365</v>
      </c>
      <c r="E136" t="s">
        <v>124</v>
      </c>
      <c r="F136">
        <v>2</v>
      </c>
    </row>
    <row r="137" spans="1:6" x14ac:dyDescent="0.45">
      <c r="A137">
        <v>4732</v>
      </c>
      <c r="B137" t="s">
        <v>365</v>
      </c>
      <c r="E137" t="s">
        <v>125</v>
      </c>
      <c r="F137">
        <v>13</v>
      </c>
    </row>
    <row r="138" spans="1:6" x14ac:dyDescent="0.45">
      <c r="A138">
        <v>4768</v>
      </c>
      <c r="B138" t="s">
        <v>365</v>
      </c>
      <c r="E138" t="s">
        <v>126</v>
      </c>
      <c r="F138">
        <v>13</v>
      </c>
    </row>
    <row r="139" spans="1:6" x14ac:dyDescent="0.45">
      <c r="A139">
        <v>4812</v>
      </c>
      <c r="B139" t="s">
        <v>365</v>
      </c>
      <c r="E139" t="s">
        <v>127</v>
      </c>
      <c r="F139">
        <v>5</v>
      </c>
    </row>
    <row r="140" spans="1:6" x14ac:dyDescent="0.45">
      <c r="A140">
        <v>4816</v>
      </c>
      <c r="B140" t="s">
        <v>369</v>
      </c>
      <c r="E140" t="s">
        <v>128</v>
      </c>
      <c r="F140">
        <v>6</v>
      </c>
    </row>
    <row r="141" spans="1:6" x14ac:dyDescent="0.45">
      <c r="A141">
        <v>4901</v>
      </c>
      <c r="B141" t="s">
        <v>365</v>
      </c>
      <c r="E141" t="s">
        <v>129</v>
      </c>
      <c r="F141">
        <v>9</v>
      </c>
    </row>
    <row r="142" spans="1:6" x14ac:dyDescent="0.45">
      <c r="A142">
        <v>4912</v>
      </c>
      <c r="B142" t="s">
        <v>365</v>
      </c>
      <c r="E142" t="s">
        <v>130</v>
      </c>
      <c r="F142">
        <v>9</v>
      </c>
    </row>
    <row r="143" spans="1:6" x14ac:dyDescent="0.45">
      <c r="A143">
        <v>4967</v>
      </c>
      <c r="B143" t="s">
        <v>365</v>
      </c>
      <c r="E143" t="s">
        <v>131</v>
      </c>
      <c r="F143">
        <v>13</v>
      </c>
    </row>
    <row r="144" spans="1:6" x14ac:dyDescent="0.45">
      <c r="A144">
        <v>4980</v>
      </c>
      <c r="B144" t="s">
        <v>365</v>
      </c>
      <c r="E144" t="s">
        <v>132</v>
      </c>
      <c r="F144">
        <v>4</v>
      </c>
    </row>
    <row r="145" spans="1:6" x14ac:dyDescent="0.45">
      <c r="A145">
        <v>5019</v>
      </c>
      <c r="B145" t="s">
        <v>365</v>
      </c>
      <c r="E145" t="s">
        <v>133</v>
      </c>
      <c r="F145">
        <v>10</v>
      </c>
    </row>
    <row r="146" spans="1:6" x14ac:dyDescent="0.45">
      <c r="A146">
        <v>5020</v>
      </c>
      <c r="B146" t="s">
        <v>365</v>
      </c>
      <c r="E146" t="s">
        <v>384</v>
      </c>
      <c r="F146">
        <v>10</v>
      </c>
    </row>
    <row r="147" spans="1:6" x14ac:dyDescent="0.45">
      <c r="A147">
        <v>5021</v>
      </c>
      <c r="B147" t="s">
        <v>365</v>
      </c>
      <c r="E147" t="s">
        <v>134</v>
      </c>
      <c r="F147">
        <v>8</v>
      </c>
    </row>
    <row r="148" spans="1:6" x14ac:dyDescent="0.45">
      <c r="A148">
        <v>5032</v>
      </c>
      <c r="B148" t="s">
        <v>365</v>
      </c>
      <c r="E148" t="s">
        <v>135</v>
      </c>
      <c r="F148">
        <v>1</v>
      </c>
    </row>
    <row r="149" spans="1:6" x14ac:dyDescent="0.45">
      <c r="A149">
        <v>5076</v>
      </c>
      <c r="B149" t="s">
        <v>365</v>
      </c>
      <c r="E149" t="s">
        <v>136</v>
      </c>
      <c r="F149">
        <v>5</v>
      </c>
    </row>
    <row r="150" spans="1:6" x14ac:dyDescent="0.45">
      <c r="A150">
        <v>5101</v>
      </c>
      <c r="B150" t="s">
        <v>365</v>
      </c>
      <c r="E150" t="s">
        <v>137</v>
      </c>
      <c r="F150">
        <v>13</v>
      </c>
    </row>
    <row r="151" spans="1:6" x14ac:dyDescent="0.45">
      <c r="A151">
        <v>5105</v>
      </c>
      <c r="B151" t="s">
        <v>365</v>
      </c>
      <c r="E151" t="s">
        <v>138</v>
      </c>
      <c r="F151">
        <v>11</v>
      </c>
    </row>
    <row r="152" spans="1:6" x14ac:dyDescent="0.45">
      <c r="A152">
        <v>5108</v>
      </c>
      <c r="B152" t="s">
        <v>365</v>
      </c>
      <c r="E152" t="s">
        <v>139</v>
      </c>
      <c r="F152">
        <v>13</v>
      </c>
    </row>
    <row r="153" spans="1:6" x14ac:dyDescent="0.45">
      <c r="A153">
        <v>5332</v>
      </c>
      <c r="B153" t="s">
        <v>365</v>
      </c>
      <c r="E153" t="s">
        <v>385</v>
      </c>
      <c r="F153">
        <v>13</v>
      </c>
    </row>
    <row r="154" spans="1:6" x14ac:dyDescent="0.45">
      <c r="A154">
        <v>5333</v>
      </c>
      <c r="B154" t="s">
        <v>365</v>
      </c>
      <c r="E154" t="s">
        <v>140</v>
      </c>
      <c r="F154">
        <v>11</v>
      </c>
    </row>
    <row r="155" spans="1:6" x14ac:dyDescent="0.45">
      <c r="A155">
        <v>5334</v>
      </c>
      <c r="B155" t="s">
        <v>365</v>
      </c>
      <c r="E155" t="s">
        <v>141</v>
      </c>
      <c r="F155">
        <v>13</v>
      </c>
    </row>
    <row r="156" spans="1:6" x14ac:dyDescent="0.45">
      <c r="A156">
        <v>5344</v>
      </c>
      <c r="B156" t="s">
        <v>365</v>
      </c>
      <c r="E156" t="s">
        <v>142</v>
      </c>
      <c r="F156">
        <v>4</v>
      </c>
    </row>
    <row r="157" spans="1:6" x14ac:dyDescent="0.45">
      <c r="A157">
        <v>5393</v>
      </c>
      <c r="B157" t="s">
        <v>365</v>
      </c>
      <c r="E157" t="s">
        <v>143</v>
      </c>
      <c r="F157">
        <v>10</v>
      </c>
    </row>
    <row r="158" spans="1:6" x14ac:dyDescent="0.45">
      <c r="A158">
        <v>5401</v>
      </c>
      <c r="B158" t="s">
        <v>365</v>
      </c>
      <c r="E158" t="s">
        <v>144</v>
      </c>
      <c r="F158">
        <v>12</v>
      </c>
    </row>
    <row r="159" spans="1:6" x14ac:dyDescent="0.45">
      <c r="A159">
        <v>5406</v>
      </c>
      <c r="B159" t="s">
        <v>365</v>
      </c>
      <c r="E159" t="s">
        <v>145</v>
      </c>
      <c r="F159">
        <v>4</v>
      </c>
    </row>
    <row r="160" spans="1:6" x14ac:dyDescent="0.45">
      <c r="A160">
        <v>5411</v>
      </c>
      <c r="B160" t="s">
        <v>365</v>
      </c>
      <c r="E160" t="s">
        <v>146</v>
      </c>
      <c r="F160">
        <v>12</v>
      </c>
    </row>
    <row r="161" spans="1:6" x14ac:dyDescent="0.45">
      <c r="A161">
        <v>5423</v>
      </c>
      <c r="B161" t="s">
        <v>365</v>
      </c>
      <c r="E161" t="s">
        <v>147</v>
      </c>
      <c r="F161">
        <v>6</v>
      </c>
    </row>
    <row r="162" spans="1:6" x14ac:dyDescent="0.45">
      <c r="A162">
        <v>5444</v>
      </c>
      <c r="B162" t="s">
        <v>365</v>
      </c>
      <c r="E162" t="s">
        <v>148</v>
      </c>
      <c r="F162">
        <v>2</v>
      </c>
    </row>
    <row r="163" spans="1:6" x14ac:dyDescent="0.45">
      <c r="A163">
        <v>5471</v>
      </c>
      <c r="B163" t="s">
        <v>365</v>
      </c>
      <c r="E163" t="s">
        <v>149</v>
      </c>
      <c r="F163">
        <v>4</v>
      </c>
    </row>
    <row r="164" spans="1:6" x14ac:dyDescent="0.45">
      <c r="A164">
        <v>5480</v>
      </c>
      <c r="B164" t="s">
        <v>365</v>
      </c>
      <c r="E164" t="s">
        <v>150</v>
      </c>
      <c r="F164">
        <v>3</v>
      </c>
    </row>
    <row r="165" spans="1:6" x14ac:dyDescent="0.45">
      <c r="A165">
        <v>5706</v>
      </c>
      <c r="B165" t="s">
        <v>365</v>
      </c>
      <c r="E165" t="s">
        <v>386</v>
      </c>
      <c r="F165">
        <v>8</v>
      </c>
    </row>
    <row r="166" spans="1:6" x14ac:dyDescent="0.45">
      <c r="A166">
        <v>5713</v>
      </c>
      <c r="B166" t="s">
        <v>365</v>
      </c>
      <c r="E166" t="s">
        <v>151</v>
      </c>
      <c r="F166">
        <v>13</v>
      </c>
    </row>
    <row r="167" spans="1:6" x14ac:dyDescent="0.45">
      <c r="A167">
        <v>5714</v>
      </c>
      <c r="B167" t="s">
        <v>365</v>
      </c>
      <c r="E167" t="s">
        <v>152</v>
      </c>
      <c r="F167">
        <v>11</v>
      </c>
    </row>
    <row r="168" spans="1:6" x14ac:dyDescent="0.45">
      <c r="A168">
        <v>5802</v>
      </c>
      <c r="B168" t="s">
        <v>365</v>
      </c>
      <c r="E168" t="s">
        <v>153</v>
      </c>
      <c r="F168">
        <v>13</v>
      </c>
    </row>
    <row r="169" spans="1:6" x14ac:dyDescent="0.45">
      <c r="A169">
        <v>5803</v>
      </c>
      <c r="B169" t="s">
        <v>365</v>
      </c>
      <c r="E169" t="s">
        <v>154</v>
      </c>
      <c r="F169">
        <v>2</v>
      </c>
    </row>
    <row r="170" spans="1:6" x14ac:dyDescent="0.45">
      <c r="A170">
        <v>5805</v>
      </c>
      <c r="B170" t="s">
        <v>365</v>
      </c>
      <c r="E170" t="s">
        <v>155</v>
      </c>
      <c r="F170">
        <v>1</v>
      </c>
    </row>
    <row r="171" spans="1:6" x14ac:dyDescent="0.45">
      <c r="A171">
        <v>5857</v>
      </c>
      <c r="B171" t="s">
        <v>365</v>
      </c>
      <c r="E171" t="s">
        <v>387</v>
      </c>
      <c r="F171">
        <v>9</v>
      </c>
    </row>
    <row r="172" spans="1:6" x14ac:dyDescent="0.45">
      <c r="A172">
        <v>5929</v>
      </c>
      <c r="B172" t="s">
        <v>365</v>
      </c>
      <c r="E172" t="s">
        <v>156</v>
      </c>
      <c r="F172">
        <v>11</v>
      </c>
    </row>
    <row r="173" spans="1:6" x14ac:dyDescent="0.45">
      <c r="A173">
        <v>5947</v>
      </c>
      <c r="B173" t="s">
        <v>365</v>
      </c>
      <c r="E173" t="s">
        <v>157</v>
      </c>
      <c r="F173">
        <v>13</v>
      </c>
    </row>
    <row r="174" spans="1:6" x14ac:dyDescent="0.45">
      <c r="A174">
        <v>5991</v>
      </c>
      <c r="B174" t="s">
        <v>365</v>
      </c>
      <c r="E174" t="s">
        <v>158</v>
      </c>
      <c r="F174">
        <v>8</v>
      </c>
    </row>
    <row r="175" spans="1:6" x14ac:dyDescent="0.45">
      <c r="A175">
        <v>6005</v>
      </c>
      <c r="B175" t="s">
        <v>365</v>
      </c>
      <c r="E175" t="s">
        <v>159</v>
      </c>
      <c r="F175">
        <v>6</v>
      </c>
    </row>
    <row r="176" spans="1:6" x14ac:dyDescent="0.45">
      <c r="A176">
        <v>6098</v>
      </c>
      <c r="B176" t="s">
        <v>365</v>
      </c>
      <c r="E176" t="s">
        <v>160</v>
      </c>
      <c r="F176">
        <v>8</v>
      </c>
    </row>
    <row r="177" spans="1:6" x14ac:dyDescent="0.45">
      <c r="A177">
        <v>6101</v>
      </c>
      <c r="B177" t="s">
        <v>365</v>
      </c>
      <c r="E177" t="s">
        <v>161</v>
      </c>
      <c r="F177">
        <v>2</v>
      </c>
    </row>
    <row r="178" spans="1:6" x14ac:dyDescent="0.45">
      <c r="A178">
        <v>6113</v>
      </c>
      <c r="B178" t="s">
        <v>365</v>
      </c>
      <c r="E178" t="s">
        <v>162</v>
      </c>
      <c r="F178">
        <v>9</v>
      </c>
    </row>
    <row r="179" spans="1:6" x14ac:dyDescent="0.45">
      <c r="A179">
        <v>6141</v>
      </c>
      <c r="B179" t="s">
        <v>365</v>
      </c>
      <c r="E179" t="s">
        <v>388</v>
      </c>
      <c r="F179">
        <v>10</v>
      </c>
    </row>
    <row r="180" spans="1:6" x14ac:dyDescent="0.45">
      <c r="A180">
        <v>6146</v>
      </c>
      <c r="B180" t="s">
        <v>365</v>
      </c>
      <c r="E180" t="s">
        <v>163</v>
      </c>
      <c r="F180">
        <v>13</v>
      </c>
    </row>
    <row r="181" spans="1:6" x14ac:dyDescent="0.45">
      <c r="A181">
        <v>6201</v>
      </c>
      <c r="B181" t="s">
        <v>365</v>
      </c>
      <c r="E181" t="s">
        <v>164</v>
      </c>
      <c r="F181">
        <v>13</v>
      </c>
    </row>
    <row r="182" spans="1:6" x14ac:dyDescent="0.45">
      <c r="A182">
        <v>6254</v>
      </c>
      <c r="B182" t="s">
        <v>365</v>
      </c>
      <c r="E182" t="s">
        <v>165</v>
      </c>
      <c r="F182">
        <v>2</v>
      </c>
    </row>
    <row r="183" spans="1:6" x14ac:dyDescent="0.45">
      <c r="A183">
        <v>6269</v>
      </c>
      <c r="B183" t="s">
        <v>365</v>
      </c>
      <c r="E183" t="s">
        <v>166</v>
      </c>
      <c r="F183">
        <v>3</v>
      </c>
    </row>
    <row r="184" spans="1:6" x14ac:dyDescent="0.45">
      <c r="A184">
        <v>6273</v>
      </c>
      <c r="B184" t="s">
        <v>365</v>
      </c>
      <c r="E184" t="s">
        <v>389</v>
      </c>
      <c r="F184">
        <v>13</v>
      </c>
    </row>
    <row r="185" spans="1:6" x14ac:dyDescent="0.45">
      <c r="A185">
        <v>6301</v>
      </c>
      <c r="B185" t="s">
        <v>365</v>
      </c>
      <c r="E185" t="s">
        <v>167</v>
      </c>
      <c r="F185">
        <v>13</v>
      </c>
    </row>
    <row r="186" spans="1:6" x14ac:dyDescent="0.45">
      <c r="A186">
        <v>6305</v>
      </c>
      <c r="B186" t="s">
        <v>365</v>
      </c>
      <c r="E186" t="s">
        <v>168</v>
      </c>
      <c r="F186">
        <v>13</v>
      </c>
    </row>
    <row r="187" spans="1:6" x14ac:dyDescent="0.45">
      <c r="A187">
        <v>6323</v>
      </c>
      <c r="B187" t="s">
        <v>365</v>
      </c>
      <c r="E187" t="s">
        <v>169</v>
      </c>
      <c r="F187">
        <v>4</v>
      </c>
    </row>
    <row r="188" spans="1:6" x14ac:dyDescent="0.45">
      <c r="A188">
        <v>6326</v>
      </c>
      <c r="B188" t="s">
        <v>365</v>
      </c>
      <c r="E188" t="s">
        <v>170</v>
      </c>
      <c r="F188">
        <v>13</v>
      </c>
    </row>
    <row r="189" spans="1:6" x14ac:dyDescent="0.45">
      <c r="A189">
        <v>6361</v>
      </c>
      <c r="B189" t="s">
        <v>365</v>
      </c>
      <c r="E189" t="s">
        <v>171</v>
      </c>
      <c r="F189">
        <v>11</v>
      </c>
    </row>
    <row r="190" spans="1:6" x14ac:dyDescent="0.45">
      <c r="A190">
        <v>6367</v>
      </c>
      <c r="B190" t="s">
        <v>365</v>
      </c>
      <c r="E190" t="s">
        <v>172</v>
      </c>
      <c r="F190">
        <v>13</v>
      </c>
    </row>
    <row r="191" spans="1:6" x14ac:dyDescent="0.45">
      <c r="A191">
        <v>6368</v>
      </c>
      <c r="B191" t="s">
        <v>365</v>
      </c>
      <c r="E191" t="s">
        <v>173</v>
      </c>
      <c r="F191">
        <v>3</v>
      </c>
    </row>
    <row r="192" spans="1:6" x14ac:dyDescent="0.45">
      <c r="A192">
        <v>6383</v>
      </c>
      <c r="B192" t="s">
        <v>365</v>
      </c>
      <c r="E192" t="s">
        <v>174</v>
      </c>
      <c r="F192">
        <v>10</v>
      </c>
    </row>
    <row r="193" spans="1:6" x14ac:dyDescent="0.45">
      <c r="A193">
        <v>6417</v>
      </c>
      <c r="B193" t="s">
        <v>365</v>
      </c>
      <c r="E193" t="s">
        <v>390</v>
      </c>
      <c r="F193">
        <v>5</v>
      </c>
    </row>
    <row r="194" spans="1:6" x14ac:dyDescent="0.45">
      <c r="A194">
        <v>6432</v>
      </c>
      <c r="B194" t="s">
        <v>365</v>
      </c>
      <c r="E194" t="s">
        <v>175</v>
      </c>
      <c r="F194">
        <v>10</v>
      </c>
    </row>
    <row r="195" spans="1:6" x14ac:dyDescent="0.45">
      <c r="A195">
        <v>6436</v>
      </c>
      <c r="B195" t="s">
        <v>365</v>
      </c>
      <c r="E195" t="s">
        <v>176</v>
      </c>
      <c r="F195">
        <v>1</v>
      </c>
    </row>
    <row r="196" spans="1:6" x14ac:dyDescent="0.45">
      <c r="A196">
        <v>6448</v>
      </c>
      <c r="B196" t="s">
        <v>365</v>
      </c>
      <c r="E196" t="s">
        <v>177</v>
      </c>
      <c r="F196">
        <v>13</v>
      </c>
    </row>
    <row r="197" spans="1:6" x14ac:dyDescent="0.45">
      <c r="A197">
        <v>6460</v>
      </c>
      <c r="B197" t="s">
        <v>365</v>
      </c>
      <c r="E197" t="s">
        <v>178</v>
      </c>
      <c r="F197">
        <v>6</v>
      </c>
    </row>
    <row r="198" spans="1:6" x14ac:dyDescent="0.45">
      <c r="A198">
        <v>6465</v>
      </c>
      <c r="B198" t="s">
        <v>365</v>
      </c>
      <c r="E198" t="s">
        <v>179</v>
      </c>
      <c r="F198">
        <v>12</v>
      </c>
    </row>
    <row r="199" spans="1:6" x14ac:dyDescent="0.45">
      <c r="A199">
        <v>6479</v>
      </c>
      <c r="B199" t="s">
        <v>365</v>
      </c>
      <c r="E199" t="s">
        <v>180</v>
      </c>
      <c r="F199">
        <v>12</v>
      </c>
    </row>
    <row r="200" spans="1:6" x14ac:dyDescent="0.45">
      <c r="A200">
        <v>6501</v>
      </c>
      <c r="B200" t="s">
        <v>365</v>
      </c>
      <c r="E200" t="s">
        <v>181</v>
      </c>
      <c r="F200">
        <v>13</v>
      </c>
    </row>
    <row r="201" spans="1:6" x14ac:dyDescent="0.45">
      <c r="A201">
        <v>6503</v>
      </c>
      <c r="B201" t="s">
        <v>365</v>
      </c>
      <c r="E201" t="s">
        <v>182</v>
      </c>
      <c r="F201">
        <v>13</v>
      </c>
    </row>
    <row r="202" spans="1:6" x14ac:dyDescent="0.45">
      <c r="A202">
        <v>6504</v>
      </c>
      <c r="B202" t="s">
        <v>365</v>
      </c>
      <c r="E202" t="s">
        <v>183</v>
      </c>
      <c r="F202">
        <v>13</v>
      </c>
    </row>
    <row r="203" spans="1:6" x14ac:dyDescent="0.45">
      <c r="A203">
        <v>6506</v>
      </c>
      <c r="B203" t="s">
        <v>365</v>
      </c>
      <c r="E203" t="s">
        <v>184</v>
      </c>
      <c r="F203">
        <v>13</v>
      </c>
    </row>
    <row r="204" spans="1:6" x14ac:dyDescent="0.45">
      <c r="A204">
        <v>6532</v>
      </c>
      <c r="B204" t="s">
        <v>365</v>
      </c>
      <c r="E204" t="s">
        <v>391</v>
      </c>
      <c r="F204">
        <v>6</v>
      </c>
    </row>
    <row r="205" spans="1:6" x14ac:dyDescent="0.45">
      <c r="A205">
        <v>6544</v>
      </c>
      <c r="B205" t="s">
        <v>365</v>
      </c>
      <c r="E205" t="s">
        <v>185</v>
      </c>
      <c r="F205">
        <v>5</v>
      </c>
    </row>
    <row r="206" spans="1:6" x14ac:dyDescent="0.45">
      <c r="A206">
        <v>6586</v>
      </c>
      <c r="B206" t="s">
        <v>365</v>
      </c>
      <c r="E206" t="s">
        <v>186</v>
      </c>
      <c r="F206">
        <v>13</v>
      </c>
    </row>
    <row r="207" spans="1:6" x14ac:dyDescent="0.45">
      <c r="A207">
        <v>6590</v>
      </c>
      <c r="B207" t="s">
        <v>365</v>
      </c>
      <c r="E207" t="s">
        <v>187</v>
      </c>
      <c r="F207">
        <v>1</v>
      </c>
    </row>
    <row r="208" spans="1:6" x14ac:dyDescent="0.45">
      <c r="A208">
        <v>6632</v>
      </c>
      <c r="B208" t="s">
        <v>365</v>
      </c>
      <c r="E208" t="s">
        <v>188</v>
      </c>
      <c r="F208">
        <v>2</v>
      </c>
    </row>
    <row r="209" spans="1:6" x14ac:dyDescent="0.45">
      <c r="A209">
        <v>6645</v>
      </c>
      <c r="B209" t="s">
        <v>365</v>
      </c>
      <c r="E209" t="s">
        <v>189</v>
      </c>
      <c r="F209">
        <v>13</v>
      </c>
    </row>
    <row r="210" spans="1:6" x14ac:dyDescent="0.45">
      <c r="A210">
        <v>6670</v>
      </c>
      <c r="B210" t="s">
        <v>369</v>
      </c>
      <c r="E210" t="s">
        <v>190</v>
      </c>
      <c r="F210">
        <v>6</v>
      </c>
    </row>
    <row r="211" spans="1:6" x14ac:dyDescent="0.45">
      <c r="A211">
        <v>6701</v>
      </c>
      <c r="B211" t="s">
        <v>365</v>
      </c>
      <c r="E211" t="s">
        <v>191</v>
      </c>
      <c r="F211">
        <v>11</v>
      </c>
    </row>
    <row r="212" spans="1:6" x14ac:dyDescent="0.45">
      <c r="A212">
        <v>6702</v>
      </c>
      <c r="B212" t="s">
        <v>365</v>
      </c>
      <c r="E212" t="s">
        <v>192</v>
      </c>
      <c r="F212">
        <v>13</v>
      </c>
    </row>
    <row r="213" spans="1:6" x14ac:dyDescent="0.45">
      <c r="A213">
        <v>6707</v>
      </c>
      <c r="B213" t="s">
        <v>365</v>
      </c>
      <c r="E213" t="s">
        <v>193</v>
      </c>
      <c r="F213">
        <v>1</v>
      </c>
    </row>
    <row r="214" spans="1:6" x14ac:dyDescent="0.45">
      <c r="A214">
        <v>6723</v>
      </c>
      <c r="B214" t="s">
        <v>365</v>
      </c>
      <c r="E214" t="s">
        <v>194</v>
      </c>
      <c r="F214">
        <v>10</v>
      </c>
    </row>
    <row r="215" spans="1:6" x14ac:dyDescent="0.45">
      <c r="A215">
        <v>6724</v>
      </c>
      <c r="B215" t="s">
        <v>365</v>
      </c>
      <c r="E215" t="s">
        <v>195</v>
      </c>
      <c r="F215">
        <v>12</v>
      </c>
    </row>
    <row r="216" spans="1:6" x14ac:dyDescent="0.45">
      <c r="A216">
        <v>6728</v>
      </c>
      <c r="B216" t="s">
        <v>365</v>
      </c>
      <c r="E216" t="s">
        <v>196</v>
      </c>
      <c r="F216">
        <v>9</v>
      </c>
    </row>
    <row r="217" spans="1:6" x14ac:dyDescent="0.45">
      <c r="A217">
        <v>6752</v>
      </c>
      <c r="B217" t="s">
        <v>365</v>
      </c>
      <c r="E217" t="s">
        <v>392</v>
      </c>
      <c r="F217">
        <v>12</v>
      </c>
    </row>
    <row r="218" spans="1:6" x14ac:dyDescent="0.45">
      <c r="A218">
        <v>6758</v>
      </c>
      <c r="B218" t="s">
        <v>365</v>
      </c>
      <c r="E218" t="s">
        <v>197</v>
      </c>
      <c r="F218">
        <v>10</v>
      </c>
    </row>
    <row r="219" spans="1:6" x14ac:dyDescent="0.45">
      <c r="A219">
        <v>6762</v>
      </c>
      <c r="B219" t="s">
        <v>365</v>
      </c>
      <c r="E219" t="s">
        <v>393</v>
      </c>
      <c r="F219">
        <v>13</v>
      </c>
    </row>
    <row r="220" spans="1:6" x14ac:dyDescent="0.45">
      <c r="A220">
        <v>6787</v>
      </c>
      <c r="B220" t="s">
        <v>365</v>
      </c>
      <c r="E220" t="s">
        <v>198</v>
      </c>
      <c r="F220">
        <v>2</v>
      </c>
    </row>
    <row r="221" spans="1:6" x14ac:dyDescent="0.45">
      <c r="A221">
        <v>6806</v>
      </c>
      <c r="B221" t="s">
        <v>365</v>
      </c>
      <c r="E221" t="s">
        <v>199</v>
      </c>
      <c r="F221">
        <v>10</v>
      </c>
    </row>
    <row r="222" spans="1:6" x14ac:dyDescent="0.45">
      <c r="A222">
        <v>6841</v>
      </c>
      <c r="B222" t="s">
        <v>365</v>
      </c>
      <c r="E222" t="s">
        <v>200</v>
      </c>
      <c r="F222">
        <v>12</v>
      </c>
    </row>
    <row r="223" spans="1:6" x14ac:dyDescent="0.45">
      <c r="A223">
        <v>6845</v>
      </c>
      <c r="B223" t="s">
        <v>365</v>
      </c>
      <c r="E223" t="s">
        <v>201</v>
      </c>
      <c r="F223">
        <v>8</v>
      </c>
    </row>
    <row r="224" spans="1:6" x14ac:dyDescent="0.45">
      <c r="A224">
        <v>6849</v>
      </c>
      <c r="B224" t="s">
        <v>365</v>
      </c>
      <c r="E224" t="s">
        <v>202</v>
      </c>
      <c r="F224">
        <v>13</v>
      </c>
    </row>
    <row r="225" spans="1:6" x14ac:dyDescent="0.45">
      <c r="A225">
        <v>6856</v>
      </c>
      <c r="B225" t="s">
        <v>365</v>
      </c>
      <c r="E225" t="s">
        <v>203</v>
      </c>
      <c r="F225">
        <v>13</v>
      </c>
    </row>
    <row r="226" spans="1:6" x14ac:dyDescent="0.45">
      <c r="A226">
        <v>6857</v>
      </c>
      <c r="B226" t="s">
        <v>365</v>
      </c>
      <c r="E226" t="s">
        <v>204</v>
      </c>
      <c r="F226">
        <v>9</v>
      </c>
    </row>
    <row r="227" spans="1:6" x14ac:dyDescent="0.45">
      <c r="A227">
        <v>6861</v>
      </c>
      <c r="B227" t="s">
        <v>365</v>
      </c>
      <c r="E227" t="s">
        <v>205</v>
      </c>
      <c r="F227">
        <v>13</v>
      </c>
    </row>
    <row r="228" spans="1:6" x14ac:dyDescent="0.45">
      <c r="A228">
        <v>6869</v>
      </c>
      <c r="B228" t="s">
        <v>365</v>
      </c>
      <c r="E228" t="s">
        <v>206</v>
      </c>
      <c r="F228">
        <v>13</v>
      </c>
    </row>
    <row r="229" spans="1:6" x14ac:dyDescent="0.45">
      <c r="A229">
        <v>6902</v>
      </c>
      <c r="B229" t="s">
        <v>365</v>
      </c>
      <c r="E229" t="s">
        <v>207</v>
      </c>
      <c r="F229">
        <v>13</v>
      </c>
    </row>
    <row r="230" spans="1:6" x14ac:dyDescent="0.45">
      <c r="A230">
        <v>6920</v>
      </c>
      <c r="B230" t="s">
        <v>365</v>
      </c>
      <c r="E230" t="s">
        <v>208</v>
      </c>
      <c r="F230">
        <v>7</v>
      </c>
    </row>
    <row r="231" spans="1:6" x14ac:dyDescent="0.45">
      <c r="A231">
        <v>6951</v>
      </c>
      <c r="B231" t="s">
        <v>365</v>
      </c>
      <c r="E231" t="s">
        <v>209</v>
      </c>
      <c r="F231">
        <v>3</v>
      </c>
    </row>
    <row r="232" spans="1:6" x14ac:dyDescent="0.45">
      <c r="A232">
        <v>6954</v>
      </c>
      <c r="B232" t="s">
        <v>365</v>
      </c>
      <c r="E232" t="s">
        <v>210</v>
      </c>
      <c r="F232">
        <v>13</v>
      </c>
    </row>
    <row r="233" spans="1:6" x14ac:dyDescent="0.45">
      <c r="A233">
        <v>6965</v>
      </c>
      <c r="B233" t="s">
        <v>365</v>
      </c>
      <c r="E233" t="s">
        <v>211</v>
      </c>
      <c r="F233">
        <v>13</v>
      </c>
    </row>
    <row r="234" spans="1:6" x14ac:dyDescent="0.45">
      <c r="A234">
        <v>6966</v>
      </c>
      <c r="B234" t="s">
        <v>365</v>
      </c>
      <c r="E234" t="s">
        <v>212</v>
      </c>
      <c r="F234">
        <v>3</v>
      </c>
    </row>
    <row r="235" spans="1:6" x14ac:dyDescent="0.45">
      <c r="A235">
        <v>6981</v>
      </c>
      <c r="B235" t="s">
        <v>365</v>
      </c>
      <c r="E235" t="s">
        <v>213</v>
      </c>
      <c r="F235">
        <v>13</v>
      </c>
    </row>
    <row r="236" spans="1:6" x14ac:dyDescent="0.45">
      <c r="A236">
        <v>6988</v>
      </c>
      <c r="B236" t="s">
        <v>365</v>
      </c>
      <c r="E236" t="s">
        <v>214</v>
      </c>
      <c r="F236">
        <v>13</v>
      </c>
    </row>
    <row r="237" spans="1:6" x14ac:dyDescent="0.45">
      <c r="A237">
        <v>7003</v>
      </c>
      <c r="B237" t="s">
        <v>365</v>
      </c>
      <c r="E237" t="s">
        <v>215</v>
      </c>
      <c r="F237">
        <v>3</v>
      </c>
    </row>
    <row r="238" spans="1:6" x14ac:dyDescent="0.45">
      <c r="A238">
        <v>7004</v>
      </c>
      <c r="B238" t="s">
        <v>365</v>
      </c>
      <c r="E238" t="s">
        <v>216</v>
      </c>
      <c r="F238">
        <v>2</v>
      </c>
    </row>
    <row r="239" spans="1:6" x14ac:dyDescent="0.45">
      <c r="A239">
        <v>7011</v>
      </c>
      <c r="B239" t="s">
        <v>365</v>
      </c>
      <c r="E239" t="s">
        <v>217</v>
      </c>
      <c r="F239">
        <v>13</v>
      </c>
    </row>
    <row r="240" spans="1:6" x14ac:dyDescent="0.45">
      <c r="A240">
        <v>7012</v>
      </c>
      <c r="B240" t="s">
        <v>365</v>
      </c>
      <c r="E240" t="s">
        <v>218</v>
      </c>
      <c r="F240">
        <v>8</v>
      </c>
    </row>
    <row r="241" spans="1:6" x14ac:dyDescent="0.45">
      <c r="A241">
        <v>7013</v>
      </c>
      <c r="B241" t="s">
        <v>365</v>
      </c>
      <c r="E241" t="s">
        <v>219</v>
      </c>
      <c r="F241">
        <v>10</v>
      </c>
    </row>
    <row r="242" spans="1:6" x14ac:dyDescent="0.45">
      <c r="A242">
        <v>7014</v>
      </c>
      <c r="B242" t="s">
        <v>369</v>
      </c>
      <c r="E242" t="s">
        <v>220</v>
      </c>
      <c r="F242">
        <v>4</v>
      </c>
    </row>
    <row r="243" spans="1:6" x14ac:dyDescent="0.45">
      <c r="A243">
        <v>7105</v>
      </c>
      <c r="B243" t="s">
        <v>369</v>
      </c>
      <c r="E243" t="s">
        <v>221</v>
      </c>
      <c r="F243">
        <v>2</v>
      </c>
    </row>
    <row r="244" spans="1:6" x14ac:dyDescent="0.45">
      <c r="A244">
        <v>7148</v>
      </c>
      <c r="B244" t="s">
        <v>365</v>
      </c>
      <c r="E244" t="s">
        <v>222</v>
      </c>
      <c r="F244">
        <v>8</v>
      </c>
    </row>
    <row r="245" spans="1:6" x14ac:dyDescent="0.45">
      <c r="A245">
        <v>7164</v>
      </c>
      <c r="B245" t="s">
        <v>365</v>
      </c>
      <c r="E245" t="s">
        <v>223</v>
      </c>
      <c r="F245">
        <v>10</v>
      </c>
    </row>
    <row r="246" spans="1:6" x14ac:dyDescent="0.45">
      <c r="A246">
        <v>7167</v>
      </c>
      <c r="B246" t="s">
        <v>365</v>
      </c>
      <c r="E246" t="s">
        <v>224</v>
      </c>
      <c r="F246">
        <v>9</v>
      </c>
    </row>
    <row r="247" spans="1:6" x14ac:dyDescent="0.45">
      <c r="A247">
        <v>7186</v>
      </c>
      <c r="B247" t="s">
        <v>365</v>
      </c>
      <c r="E247" t="s">
        <v>394</v>
      </c>
      <c r="F247">
        <v>11</v>
      </c>
    </row>
    <row r="248" spans="1:6" x14ac:dyDescent="0.45">
      <c r="A248">
        <v>7202</v>
      </c>
      <c r="B248" t="s">
        <v>365</v>
      </c>
      <c r="E248" t="s">
        <v>225</v>
      </c>
      <c r="F248">
        <v>13</v>
      </c>
    </row>
    <row r="249" spans="1:6" x14ac:dyDescent="0.45">
      <c r="A249">
        <v>7203</v>
      </c>
      <c r="B249" t="s">
        <v>365</v>
      </c>
      <c r="E249" t="s">
        <v>226</v>
      </c>
      <c r="F249">
        <v>13</v>
      </c>
    </row>
    <row r="250" spans="1:6" x14ac:dyDescent="0.45">
      <c r="A250">
        <v>7211</v>
      </c>
      <c r="B250" t="s">
        <v>365</v>
      </c>
      <c r="E250" t="s">
        <v>227</v>
      </c>
      <c r="F250">
        <v>5</v>
      </c>
    </row>
    <row r="251" spans="1:6" x14ac:dyDescent="0.45">
      <c r="A251">
        <v>7259</v>
      </c>
      <c r="B251" t="s">
        <v>365</v>
      </c>
      <c r="E251" t="s">
        <v>228</v>
      </c>
      <c r="F251">
        <v>13</v>
      </c>
    </row>
    <row r="252" spans="1:6" x14ac:dyDescent="0.45">
      <c r="A252">
        <v>7261</v>
      </c>
      <c r="B252" t="s">
        <v>365</v>
      </c>
      <c r="E252" t="s">
        <v>229</v>
      </c>
      <c r="F252">
        <v>10</v>
      </c>
    </row>
    <row r="253" spans="1:6" x14ac:dyDescent="0.45">
      <c r="A253">
        <v>7267</v>
      </c>
      <c r="B253" t="s">
        <v>365</v>
      </c>
      <c r="E253" t="s">
        <v>230</v>
      </c>
      <c r="F253">
        <v>13</v>
      </c>
    </row>
    <row r="254" spans="1:6" x14ac:dyDescent="0.45">
      <c r="A254">
        <v>7269</v>
      </c>
      <c r="B254" t="s">
        <v>365</v>
      </c>
      <c r="E254" t="s">
        <v>231</v>
      </c>
      <c r="F254">
        <v>13</v>
      </c>
    </row>
    <row r="255" spans="1:6" x14ac:dyDescent="0.45">
      <c r="A255">
        <v>7270</v>
      </c>
      <c r="B255" t="s">
        <v>365</v>
      </c>
      <c r="E255" t="s">
        <v>232</v>
      </c>
      <c r="F255">
        <v>13</v>
      </c>
    </row>
    <row r="256" spans="1:6" x14ac:dyDescent="0.45">
      <c r="A256">
        <v>7272</v>
      </c>
      <c r="B256" t="s">
        <v>365</v>
      </c>
      <c r="E256" t="s">
        <v>233</v>
      </c>
      <c r="F256">
        <v>13</v>
      </c>
    </row>
    <row r="257" spans="1:6" x14ac:dyDescent="0.45">
      <c r="A257">
        <v>7276</v>
      </c>
      <c r="B257" t="s">
        <v>365</v>
      </c>
      <c r="E257" t="s">
        <v>234</v>
      </c>
      <c r="F257">
        <v>13</v>
      </c>
    </row>
    <row r="258" spans="1:6" x14ac:dyDescent="0.45">
      <c r="A258">
        <v>7282</v>
      </c>
      <c r="B258" t="s">
        <v>365</v>
      </c>
      <c r="E258" t="s">
        <v>235</v>
      </c>
      <c r="F258">
        <v>13</v>
      </c>
    </row>
    <row r="259" spans="1:6" x14ac:dyDescent="0.45">
      <c r="A259">
        <v>7309</v>
      </c>
      <c r="B259" t="s">
        <v>365</v>
      </c>
      <c r="E259" t="s">
        <v>236</v>
      </c>
      <c r="F259">
        <v>13</v>
      </c>
    </row>
    <row r="260" spans="1:6" x14ac:dyDescent="0.45">
      <c r="A260">
        <v>7419</v>
      </c>
      <c r="B260" t="s">
        <v>365</v>
      </c>
      <c r="E260" t="s">
        <v>237</v>
      </c>
      <c r="F260">
        <v>10</v>
      </c>
    </row>
    <row r="261" spans="1:6" x14ac:dyDescent="0.45">
      <c r="A261">
        <v>7453</v>
      </c>
      <c r="B261" t="s">
        <v>365</v>
      </c>
      <c r="E261" t="s">
        <v>238</v>
      </c>
      <c r="F261">
        <v>13</v>
      </c>
    </row>
    <row r="262" spans="1:6" x14ac:dyDescent="0.45">
      <c r="A262">
        <v>7459</v>
      </c>
      <c r="B262" t="s">
        <v>365</v>
      </c>
      <c r="E262" t="s">
        <v>239</v>
      </c>
      <c r="F262">
        <v>12</v>
      </c>
    </row>
    <row r="263" spans="1:6" x14ac:dyDescent="0.45">
      <c r="A263">
        <v>7532</v>
      </c>
      <c r="B263" t="s">
        <v>365</v>
      </c>
      <c r="E263" t="s">
        <v>240</v>
      </c>
      <c r="F263">
        <v>13</v>
      </c>
    </row>
    <row r="264" spans="1:6" x14ac:dyDescent="0.45">
      <c r="A264">
        <v>7550</v>
      </c>
      <c r="B264" t="s">
        <v>365</v>
      </c>
      <c r="E264" t="s">
        <v>241</v>
      </c>
      <c r="F264">
        <v>9</v>
      </c>
    </row>
    <row r="265" spans="1:6" x14ac:dyDescent="0.45">
      <c r="A265">
        <v>7564</v>
      </c>
      <c r="B265" t="s">
        <v>369</v>
      </c>
      <c r="E265" t="s">
        <v>242</v>
      </c>
      <c r="F265">
        <v>7</v>
      </c>
    </row>
    <row r="266" spans="1:6" x14ac:dyDescent="0.45">
      <c r="A266">
        <v>7599</v>
      </c>
      <c r="B266" t="s">
        <v>365</v>
      </c>
      <c r="E266" t="s">
        <v>395</v>
      </c>
      <c r="F266">
        <v>4</v>
      </c>
    </row>
    <row r="267" spans="1:6" x14ac:dyDescent="0.45">
      <c r="A267">
        <v>7649</v>
      </c>
      <c r="B267" t="s">
        <v>365</v>
      </c>
      <c r="E267" t="s">
        <v>243</v>
      </c>
      <c r="F267">
        <v>13</v>
      </c>
    </row>
    <row r="268" spans="1:6" x14ac:dyDescent="0.45">
      <c r="A268">
        <v>7701</v>
      </c>
      <c r="B268" t="s">
        <v>365</v>
      </c>
      <c r="E268" t="s">
        <v>244</v>
      </c>
      <c r="F268">
        <v>10</v>
      </c>
    </row>
    <row r="269" spans="1:6" x14ac:dyDescent="0.45">
      <c r="A269">
        <v>7716</v>
      </c>
      <c r="B269" t="s">
        <v>369</v>
      </c>
      <c r="E269" t="s">
        <v>245</v>
      </c>
      <c r="F269">
        <v>3</v>
      </c>
    </row>
    <row r="270" spans="1:6" x14ac:dyDescent="0.45">
      <c r="A270">
        <v>7729</v>
      </c>
      <c r="B270" t="s">
        <v>365</v>
      </c>
      <c r="E270" t="s">
        <v>246</v>
      </c>
      <c r="F270">
        <v>8</v>
      </c>
    </row>
    <row r="271" spans="1:6" x14ac:dyDescent="0.45">
      <c r="A271">
        <v>7733</v>
      </c>
      <c r="B271" t="s">
        <v>365</v>
      </c>
      <c r="E271" t="s">
        <v>247</v>
      </c>
      <c r="F271">
        <v>11</v>
      </c>
    </row>
    <row r="272" spans="1:6" x14ac:dyDescent="0.45">
      <c r="A272">
        <v>7735</v>
      </c>
      <c r="B272" t="s">
        <v>365</v>
      </c>
      <c r="E272" t="s">
        <v>396</v>
      </c>
      <c r="F272">
        <v>10</v>
      </c>
    </row>
    <row r="273" spans="1:6" x14ac:dyDescent="0.45">
      <c r="A273">
        <v>7740</v>
      </c>
      <c r="B273" t="s">
        <v>365</v>
      </c>
      <c r="E273" t="s">
        <v>248</v>
      </c>
      <c r="F273">
        <v>1</v>
      </c>
    </row>
    <row r="274" spans="1:6" x14ac:dyDescent="0.45">
      <c r="A274">
        <v>7741</v>
      </c>
      <c r="B274" t="s">
        <v>365</v>
      </c>
      <c r="E274" t="s">
        <v>397</v>
      </c>
      <c r="F274">
        <v>13</v>
      </c>
    </row>
    <row r="275" spans="1:6" x14ac:dyDescent="0.45">
      <c r="A275">
        <v>7744</v>
      </c>
      <c r="B275" t="s">
        <v>365</v>
      </c>
      <c r="E275" t="s">
        <v>249</v>
      </c>
      <c r="F275">
        <v>2</v>
      </c>
    </row>
    <row r="276" spans="1:6" x14ac:dyDescent="0.45">
      <c r="A276">
        <v>7747</v>
      </c>
      <c r="B276" t="s">
        <v>365</v>
      </c>
      <c r="E276" t="s">
        <v>250</v>
      </c>
      <c r="F276">
        <v>10</v>
      </c>
    </row>
    <row r="277" spans="1:6" x14ac:dyDescent="0.45">
      <c r="A277">
        <v>7751</v>
      </c>
      <c r="B277" t="s">
        <v>365</v>
      </c>
      <c r="E277" t="s">
        <v>251</v>
      </c>
      <c r="F277">
        <v>10</v>
      </c>
    </row>
    <row r="278" spans="1:6" x14ac:dyDescent="0.45">
      <c r="A278">
        <v>7762</v>
      </c>
      <c r="B278" t="s">
        <v>365</v>
      </c>
      <c r="E278" t="s">
        <v>252</v>
      </c>
      <c r="F278">
        <v>2</v>
      </c>
    </row>
    <row r="279" spans="1:6" x14ac:dyDescent="0.45">
      <c r="A279">
        <v>7832</v>
      </c>
      <c r="B279" t="s">
        <v>365</v>
      </c>
      <c r="E279" t="s">
        <v>253</v>
      </c>
      <c r="F279">
        <v>13</v>
      </c>
    </row>
    <row r="280" spans="1:6" x14ac:dyDescent="0.45">
      <c r="A280">
        <v>7846</v>
      </c>
      <c r="B280" t="s">
        <v>365</v>
      </c>
      <c r="E280" t="s">
        <v>254</v>
      </c>
      <c r="F280">
        <v>11</v>
      </c>
    </row>
    <row r="281" spans="1:6" x14ac:dyDescent="0.45">
      <c r="A281">
        <v>7867</v>
      </c>
      <c r="B281" t="s">
        <v>365</v>
      </c>
      <c r="E281" t="s">
        <v>255</v>
      </c>
      <c r="F281">
        <v>2</v>
      </c>
    </row>
    <row r="282" spans="1:6" x14ac:dyDescent="0.45">
      <c r="A282">
        <v>7906</v>
      </c>
      <c r="B282" t="s">
        <v>369</v>
      </c>
      <c r="E282" t="s">
        <v>256</v>
      </c>
      <c r="F282">
        <v>1</v>
      </c>
    </row>
    <row r="283" spans="1:6" x14ac:dyDescent="0.45">
      <c r="A283">
        <v>7912</v>
      </c>
      <c r="B283" t="s">
        <v>365</v>
      </c>
      <c r="E283" t="s">
        <v>257</v>
      </c>
      <c r="F283">
        <v>2</v>
      </c>
    </row>
    <row r="284" spans="1:6" x14ac:dyDescent="0.45">
      <c r="A284">
        <v>7936</v>
      </c>
      <c r="B284" t="s">
        <v>365</v>
      </c>
      <c r="E284" t="s">
        <v>258</v>
      </c>
      <c r="F284">
        <v>8</v>
      </c>
    </row>
    <row r="285" spans="1:6" x14ac:dyDescent="0.45">
      <c r="A285">
        <v>7944</v>
      </c>
      <c r="B285" t="s">
        <v>365</v>
      </c>
      <c r="E285" t="s">
        <v>259</v>
      </c>
      <c r="F285">
        <v>2</v>
      </c>
    </row>
    <row r="286" spans="1:6" x14ac:dyDescent="0.45">
      <c r="A286">
        <v>7951</v>
      </c>
      <c r="B286" t="s">
        <v>365</v>
      </c>
      <c r="E286" t="s">
        <v>260</v>
      </c>
      <c r="F286">
        <v>11</v>
      </c>
    </row>
    <row r="287" spans="1:6" x14ac:dyDescent="0.45">
      <c r="A287">
        <v>7974</v>
      </c>
      <c r="B287" t="s">
        <v>365</v>
      </c>
      <c r="E287" t="s">
        <v>2</v>
      </c>
      <c r="F287">
        <v>8</v>
      </c>
    </row>
    <row r="288" spans="1:6" x14ac:dyDescent="0.45">
      <c r="A288">
        <v>7988</v>
      </c>
      <c r="B288" t="s">
        <v>365</v>
      </c>
      <c r="E288" t="s">
        <v>261</v>
      </c>
      <c r="F288">
        <v>13</v>
      </c>
    </row>
    <row r="289" spans="1:6" x14ac:dyDescent="0.45">
      <c r="A289">
        <v>7994</v>
      </c>
      <c r="B289" t="s">
        <v>365</v>
      </c>
      <c r="E289" t="s">
        <v>262</v>
      </c>
      <c r="F289">
        <v>1</v>
      </c>
    </row>
    <row r="290" spans="1:6" x14ac:dyDescent="0.45">
      <c r="A290">
        <v>8001</v>
      </c>
      <c r="B290" t="s">
        <v>365</v>
      </c>
      <c r="E290" t="s">
        <v>263</v>
      </c>
      <c r="F290">
        <v>13</v>
      </c>
    </row>
    <row r="291" spans="1:6" x14ac:dyDescent="0.45">
      <c r="A291">
        <v>8002</v>
      </c>
      <c r="B291" t="s">
        <v>365</v>
      </c>
      <c r="E291" t="s">
        <v>264</v>
      </c>
      <c r="F291">
        <v>13</v>
      </c>
    </row>
    <row r="292" spans="1:6" x14ac:dyDescent="0.45">
      <c r="A292">
        <v>8015</v>
      </c>
      <c r="B292" t="s">
        <v>365</v>
      </c>
      <c r="E292" t="s">
        <v>265</v>
      </c>
      <c r="F292">
        <v>13</v>
      </c>
    </row>
    <row r="293" spans="1:6" x14ac:dyDescent="0.45">
      <c r="A293">
        <v>8020</v>
      </c>
      <c r="B293" t="s">
        <v>365</v>
      </c>
      <c r="E293" t="s">
        <v>266</v>
      </c>
      <c r="F293">
        <v>13</v>
      </c>
    </row>
    <row r="294" spans="1:6" x14ac:dyDescent="0.45">
      <c r="A294">
        <v>8031</v>
      </c>
      <c r="B294" t="s">
        <v>365</v>
      </c>
      <c r="E294" t="s">
        <v>267</v>
      </c>
      <c r="F294">
        <v>13</v>
      </c>
    </row>
    <row r="295" spans="1:6" x14ac:dyDescent="0.45">
      <c r="A295">
        <v>8035</v>
      </c>
      <c r="B295" t="s">
        <v>365</v>
      </c>
      <c r="E295" t="s">
        <v>268</v>
      </c>
      <c r="F295">
        <v>12</v>
      </c>
    </row>
    <row r="296" spans="1:6" x14ac:dyDescent="0.45">
      <c r="A296">
        <v>8053</v>
      </c>
      <c r="B296" t="s">
        <v>365</v>
      </c>
      <c r="E296" t="s">
        <v>269</v>
      </c>
      <c r="F296">
        <v>13</v>
      </c>
    </row>
    <row r="297" spans="1:6" x14ac:dyDescent="0.45">
      <c r="A297">
        <v>8056</v>
      </c>
      <c r="B297" t="s">
        <v>365</v>
      </c>
      <c r="E297" t="s">
        <v>398</v>
      </c>
      <c r="F297">
        <v>8</v>
      </c>
    </row>
    <row r="298" spans="1:6" x14ac:dyDescent="0.45">
      <c r="A298">
        <v>8058</v>
      </c>
      <c r="B298" t="s">
        <v>365</v>
      </c>
      <c r="E298" t="s">
        <v>270</v>
      </c>
      <c r="F298">
        <v>13</v>
      </c>
    </row>
    <row r="299" spans="1:6" x14ac:dyDescent="0.45">
      <c r="A299">
        <v>8060</v>
      </c>
      <c r="B299" t="s">
        <v>365</v>
      </c>
      <c r="E299" t="s">
        <v>271</v>
      </c>
      <c r="F299">
        <v>3</v>
      </c>
    </row>
    <row r="300" spans="1:6" x14ac:dyDescent="0.45">
      <c r="A300">
        <v>8078</v>
      </c>
      <c r="B300" t="s">
        <v>365</v>
      </c>
      <c r="E300" t="s">
        <v>272</v>
      </c>
      <c r="F300">
        <v>7</v>
      </c>
    </row>
    <row r="301" spans="1:6" x14ac:dyDescent="0.45">
      <c r="A301">
        <v>8088</v>
      </c>
      <c r="B301" t="s">
        <v>365</v>
      </c>
      <c r="E301" t="s">
        <v>273</v>
      </c>
      <c r="F301">
        <v>13</v>
      </c>
    </row>
    <row r="302" spans="1:6" x14ac:dyDescent="0.45">
      <c r="A302">
        <v>8098</v>
      </c>
      <c r="B302" t="s">
        <v>365</v>
      </c>
      <c r="E302" t="s">
        <v>274</v>
      </c>
      <c r="F302">
        <v>3</v>
      </c>
    </row>
    <row r="303" spans="1:6" x14ac:dyDescent="0.45">
      <c r="A303">
        <v>8111</v>
      </c>
      <c r="B303" t="s">
        <v>365</v>
      </c>
      <c r="E303" t="s">
        <v>275</v>
      </c>
      <c r="F303">
        <v>7</v>
      </c>
    </row>
    <row r="304" spans="1:6" x14ac:dyDescent="0.45">
      <c r="A304">
        <v>8113</v>
      </c>
      <c r="B304" t="s">
        <v>365</v>
      </c>
      <c r="E304" t="s">
        <v>276</v>
      </c>
      <c r="F304">
        <v>13</v>
      </c>
    </row>
    <row r="305" spans="1:6" x14ac:dyDescent="0.45">
      <c r="A305">
        <v>8130</v>
      </c>
      <c r="B305" t="s">
        <v>365</v>
      </c>
      <c r="E305" t="s">
        <v>277</v>
      </c>
      <c r="F305">
        <v>1</v>
      </c>
    </row>
    <row r="306" spans="1:6" x14ac:dyDescent="0.45">
      <c r="A306">
        <v>8133</v>
      </c>
      <c r="B306" t="s">
        <v>365</v>
      </c>
      <c r="E306" t="s">
        <v>278</v>
      </c>
      <c r="F306">
        <v>3</v>
      </c>
    </row>
    <row r="307" spans="1:6" x14ac:dyDescent="0.45">
      <c r="A307">
        <v>8136</v>
      </c>
      <c r="B307" t="s">
        <v>365</v>
      </c>
      <c r="E307" t="s">
        <v>279</v>
      </c>
      <c r="F307">
        <v>7</v>
      </c>
    </row>
    <row r="308" spans="1:6" x14ac:dyDescent="0.45">
      <c r="A308">
        <v>8154</v>
      </c>
      <c r="B308" t="s">
        <v>365</v>
      </c>
      <c r="E308" t="s">
        <v>280</v>
      </c>
      <c r="F308">
        <v>3</v>
      </c>
    </row>
    <row r="309" spans="1:6" x14ac:dyDescent="0.45">
      <c r="A309">
        <v>8174</v>
      </c>
      <c r="B309" t="s">
        <v>365</v>
      </c>
      <c r="E309" t="s">
        <v>281</v>
      </c>
      <c r="F309">
        <v>8</v>
      </c>
    </row>
    <row r="310" spans="1:6" x14ac:dyDescent="0.45">
      <c r="A310">
        <v>8194</v>
      </c>
      <c r="B310" t="s">
        <v>365</v>
      </c>
      <c r="E310" t="s">
        <v>282</v>
      </c>
      <c r="F310">
        <v>5</v>
      </c>
    </row>
    <row r="311" spans="1:6" x14ac:dyDescent="0.45">
      <c r="A311">
        <v>8227</v>
      </c>
      <c r="B311" t="s">
        <v>365</v>
      </c>
      <c r="E311" t="s">
        <v>283</v>
      </c>
      <c r="F311">
        <v>10</v>
      </c>
    </row>
    <row r="312" spans="1:6" x14ac:dyDescent="0.45">
      <c r="A312">
        <v>8252</v>
      </c>
      <c r="B312" t="s">
        <v>365</v>
      </c>
      <c r="E312" t="s">
        <v>284</v>
      </c>
      <c r="F312">
        <v>7</v>
      </c>
    </row>
    <row r="313" spans="1:6" x14ac:dyDescent="0.45">
      <c r="A313">
        <v>8253</v>
      </c>
      <c r="B313" t="s">
        <v>365</v>
      </c>
      <c r="E313" t="s">
        <v>285</v>
      </c>
      <c r="F313">
        <v>5</v>
      </c>
    </row>
    <row r="314" spans="1:6" x14ac:dyDescent="0.45">
      <c r="A314">
        <v>8306</v>
      </c>
      <c r="B314" t="s">
        <v>365</v>
      </c>
      <c r="E314" t="s">
        <v>399</v>
      </c>
      <c r="F314">
        <v>13</v>
      </c>
    </row>
    <row r="315" spans="1:6" x14ac:dyDescent="0.45">
      <c r="A315">
        <v>8308</v>
      </c>
      <c r="B315" t="s">
        <v>365</v>
      </c>
      <c r="E315" t="s">
        <v>286</v>
      </c>
      <c r="F315">
        <v>13</v>
      </c>
    </row>
    <row r="316" spans="1:6" x14ac:dyDescent="0.45">
      <c r="A316">
        <v>8309</v>
      </c>
      <c r="B316" t="s">
        <v>365</v>
      </c>
      <c r="E316" t="s">
        <v>400</v>
      </c>
      <c r="F316">
        <v>13</v>
      </c>
    </row>
    <row r="317" spans="1:6" x14ac:dyDescent="0.45">
      <c r="A317">
        <v>8316</v>
      </c>
      <c r="B317" t="s">
        <v>365</v>
      </c>
      <c r="E317" t="s">
        <v>287</v>
      </c>
      <c r="F317">
        <v>13</v>
      </c>
    </row>
    <row r="318" spans="1:6" x14ac:dyDescent="0.45">
      <c r="A318">
        <v>8331</v>
      </c>
      <c r="B318" t="s">
        <v>365</v>
      </c>
      <c r="E318" t="s">
        <v>288</v>
      </c>
      <c r="F318">
        <v>13</v>
      </c>
    </row>
    <row r="319" spans="1:6" x14ac:dyDescent="0.45">
      <c r="A319">
        <v>8354</v>
      </c>
      <c r="B319" t="s">
        <v>365</v>
      </c>
      <c r="E319" t="s">
        <v>289</v>
      </c>
      <c r="F319">
        <v>10</v>
      </c>
    </row>
    <row r="320" spans="1:6" x14ac:dyDescent="0.45">
      <c r="A320">
        <v>8410</v>
      </c>
      <c r="B320" t="s">
        <v>365</v>
      </c>
      <c r="E320" t="s">
        <v>290</v>
      </c>
      <c r="F320">
        <v>13</v>
      </c>
    </row>
    <row r="321" spans="1:6" x14ac:dyDescent="0.45">
      <c r="A321">
        <v>8411</v>
      </c>
      <c r="B321" t="s">
        <v>365</v>
      </c>
      <c r="E321" t="s">
        <v>291</v>
      </c>
      <c r="F321">
        <v>13</v>
      </c>
    </row>
    <row r="322" spans="1:6" x14ac:dyDescent="0.45">
      <c r="A322">
        <v>8424</v>
      </c>
      <c r="B322" t="s">
        <v>365</v>
      </c>
      <c r="E322" t="s">
        <v>292</v>
      </c>
      <c r="F322">
        <v>13</v>
      </c>
    </row>
    <row r="323" spans="1:6" x14ac:dyDescent="0.45">
      <c r="A323">
        <v>8425</v>
      </c>
      <c r="B323" t="s">
        <v>365</v>
      </c>
      <c r="E323" t="s">
        <v>293</v>
      </c>
      <c r="F323">
        <v>10</v>
      </c>
    </row>
    <row r="324" spans="1:6" x14ac:dyDescent="0.45">
      <c r="A324">
        <v>8439</v>
      </c>
      <c r="B324" t="s">
        <v>365</v>
      </c>
      <c r="E324" t="s">
        <v>294</v>
      </c>
      <c r="F324">
        <v>13</v>
      </c>
    </row>
    <row r="325" spans="1:6" x14ac:dyDescent="0.45">
      <c r="A325">
        <v>8473</v>
      </c>
      <c r="B325" t="s">
        <v>365</v>
      </c>
      <c r="E325" t="s">
        <v>295</v>
      </c>
      <c r="F325">
        <v>10</v>
      </c>
    </row>
    <row r="326" spans="1:6" x14ac:dyDescent="0.45">
      <c r="A326">
        <v>8515</v>
      </c>
      <c r="B326" t="s">
        <v>365</v>
      </c>
      <c r="E326" t="s">
        <v>296</v>
      </c>
      <c r="F326">
        <v>2</v>
      </c>
    </row>
    <row r="327" spans="1:6" x14ac:dyDescent="0.45">
      <c r="A327">
        <v>8572</v>
      </c>
      <c r="B327" t="s">
        <v>369</v>
      </c>
      <c r="E327" t="s">
        <v>297</v>
      </c>
      <c r="F327">
        <v>8</v>
      </c>
    </row>
    <row r="328" spans="1:6" x14ac:dyDescent="0.45">
      <c r="A328">
        <v>8584</v>
      </c>
      <c r="B328" t="s">
        <v>365</v>
      </c>
      <c r="E328" t="s">
        <v>298</v>
      </c>
      <c r="F328">
        <v>3</v>
      </c>
    </row>
    <row r="329" spans="1:6" x14ac:dyDescent="0.45">
      <c r="A329">
        <v>8591</v>
      </c>
      <c r="B329" t="s">
        <v>365</v>
      </c>
      <c r="E329" t="s">
        <v>299</v>
      </c>
      <c r="F329">
        <v>13</v>
      </c>
    </row>
    <row r="330" spans="1:6" x14ac:dyDescent="0.45">
      <c r="A330">
        <v>8593</v>
      </c>
      <c r="B330" t="s">
        <v>365</v>
      </c>
      <c r="E330" t="s">
        <v>401</v>
      </c>
      <c r="F330">
        <v>13</v>
      </c>
    </row>
    <row r="331" spans="1:6" x14ac:dyDescent="0.45">
      <c r="A331">
        <v>8601</v>
      </c>
      <c r="B331" t="s">
        <v>365</v>
      </c>
      <c r="E331" t="s">
        <v>300</v>
      </c>
      <c r="F331">
        <v>12</v>
      </c>
    </row>
    <row r="332" spans="1:6" x14ac:dyDescent="0.45">
      <c r="A332">
        <v>8604</v>
      </c>
      <c r="B332" t="s">
        <v>365</v>
      </c>
      <c r="E332" t="s">
        <v>301</v>
      </c>
      <c r="F332">
        <v>13</v>
      </c>
    </row>
    <row r="333" spans="1:6" x14ac:dyDescent="0.45">
      <c r="A333">
        <v>8630</v>
      </c>
      <c r="B333" t="s">
        <v>365</v>
      </c>
      <c r="E333" t="s">
        <v>302</v>
      </c>
      <c r="F333">
        <v>11</v>
      </c>
    </row>
    <row r="334" spans="1:6" x14ac:dyDescent="0.45">
      <c r="A334">
        <v>8697</v>
      </c>
      <c r="B334" t="s">
        <v>365</v>
      </c>
      <c r="E334" t="s">
        <v>303</v>
      </c>
      <c r="F334">
        <v>13</v>
      </c>
    </row>
    <row r="335" spans="1:6" x14ac:dyDescent="0.45">
      <c r="A335">
        <v>8725</v>
      </c>
      <c r="B335" t="s">
        <v>365</v>
      </c>
      <c r="E335" t="s">
        <v>402</v>
      </c>
      <c r="F335">
        <v>11</v>
      </c>
    </row>
    <row r="336" spans="1:6" x14ac:dyDescent="0.45">
      <c r="A336">
        <v>8729</v>
      </c>
      <c r="B336" t="s">
        <v>365</v>
      </c>
      <c r="E336" t="s">
        <v>403</v>
      </c>
      <c r="F336">
        <v>8</v>
      </c>
    </row>
    <row r="337" spans="1:6" x14ac:dyDescent="0.45">
      <c r="A337">
        <v>8750</v>
      </c>
      <c r="B337" t="s">
        <v>365</v>
      </c>
      <c r="E337" t="s">
        <v>304</v>
      </c>
      <c r="F337">
        <v>13</v>
      </c>
    </row>
    <row r="338" spans="1:6" x14ac:dyDescent="0.45">
      <c r="A338">
        <v>8766</v>
      </c>
      <c r="B338" t="s">
        <v>365</v>
      </c>
      <c r="E338" t="s">
        <v>305</v>
      </c>
      <c r="F338">
        <v>13</v>
      </c>
    </row>
    <row r="339" spans="1:6" x14ac:dyDescent="0.45">
      <c r="A339">
        <v>8801</v>
      </c>
      <c r="B339" t="s">
        <v>365</v>
      </c>
      <c r="E339" t="s">
        <v>306</v>
      </c>
      <c r="F339">
        <v>13</v>
      </c>
    </row>
    <row r="340" spans="1:6" x14ac:dyDescent="0.45">
      <c r="A340">
        <v>8802</v>
      </c>
      <c r="B340" t="s">
        <v>365</v>
      </c>
      <c r="E340" t="s">
        <v>307</v>
      </c>
      <c r="F340">
        <v>13</v>
      </c>
    </row>
    <row r="341" spans="1:6" x14ac:dyDescent="0.45">
      <c r="A341">
        <v>8804</v>
      </c>
      <c r="B341" t="s">
        <v>365</v>
      </c>
      <c r="E341" t="s">
        <v>308</v>
      </c>
      <c r="F341">
        <v>11</v>
      </c>
    </row>
    <row r="342" spans="1:6" x14ac:dyDescent="0.45">
      <c r="A342">
        <v>8830</v>
      </c>
      <c r="B342" t="s">
        <v>365</v>
      </c>
      <c r="E342" t="s">
        <v>309</v>
      </c>
      <c r="F342">
        <v>13</v>
      </c>
    </row>
    <row r="343" spans="1:6" x14ac:dyDescent="0.45">
      <c r="A343">
        <v>8848</v>
      </c>
      <c r="B343" t="s">
        <v>365</v>
      </c>
      <c r="E343" t="s">
        <v>310</v>
      </c>
      <c r="F343">
        <v>6</v>
      </c>
    </row>
    <row r="344" spans="1:6" x14ac:dyDescent="0.45">
      <c r="A344">
        <v>8850</v>
      </c>
      <c r="B344" t="s">
        <v>365</v>
      </c>
      <c r="E344" t="s">
        <v>311</v>
      </c>
      <c r="F344">
        <v>11</v>
      </c>
    </row>
    <row r="345" spans="1:6" x14ac:dyDescent="0.45">
      <c r="A345">
        <v>8876</v>
      </c>
      <c r="B345" t="s">
        <v>365</v>
      </c>
      <c r="E345" t="s">
        <v>312</v>
      </c>
      <c r="F345">
        <v>12</v>
      </c>
    </row>
    <row r="346" spans="1:6" x14ac:dyDescent="0.45">
      <c r="A346">
        <v>8919</v>
      </c>
      <c r="B346" t="s">
        <v>365</v>
      </c>
      <c r="E346" t="s">
        <v>313</v>
      </c>
      <c r="F346">
        <v>5</v>
      </c>
    </row>
    <row r="347" spans="1:6" x14ac:dyDescent="0.45">
      <c r="A347">
        <v>8923</v>
      </c>
      <c r="B347" t="s">
        <v>365</v>
      </c>
      <c r="E347" t="s">
        <v>314</v>
      </c>
      <c r="F347">
        <v>1</v>
      </c>
    </row>
    <row r="348" spans="1:6" x14ac:dyDescent="0.45">
      <c r="A348">
        <v>9005</v>
      </c>
      <c r="B348" t="s">
        <v>365</v>
      </c>
      <c r="E348" t="s">
        <v>315</v>
      </c>
      <c r="F348">
        <v>9</v>
      </c>
    </row>
    <row r="349" spans="1:6" x14ac:dyDescent="0.45">
      <c r="A349">
        <v>9006</v>
      </c>
      <c r="B349" t="s">
        <v>365</v>
      </c>
      <c r="E349" t="s">
        <v>316</v>
      </c>
      <c r="F349">
        <v>2</v>
      </c>
    </row>
    <row r="350" spans="1:6" x14ac:dyDescent="0.45">
      <c r="A350">
        <v>9007</v>
      </c>
      <c r="B350" t="s">
        <v>365</v>
      </c>
      <c r="E350" t="s">
        <v>317</v>
      </c>
      <c r="F350">
        <v>10</v>
      </c>
    </row>
    <row r="351" spans="1:6" x14ac:dyDescent="0.45">
      <c r="A351">
        <v>9008</v>
      </c>
      <c r="B351" t="s">
        <v>365</v>
      </c>
      <c r="E351" t="s">
        <v>318</v>
      </c>
      <c r="F351">
        <v>9</v>
      </c>
    </row>
    <row r="352" spans="1:6" x14ac:dyDescent="0.45">
      <c r="A352">
        <v>9009</v>
      </c>
      <c r="B352" t="s">
        <v>365</v>
      </c>
      <c r="E352" t="s">
        <v>319</v>
      </c>
      <c r="F352">
        <v>9</v>
      </c>
    </row>
    <row r="353" spans="1:6" x14ac:dyDescent="0.45">
      <c r="A353">
        <v>9021</v>
      </c>
      <c r="B353" t="s">
        <v>365</v>
      </c>
      <c r="E353" t="s">
        <v>320</v>
      </c>
      <c r="F353">
        <v>9</v>
      </c>
    </row>
    <row r="354" spans="1:6" x14ac:dyDescent="0.45">
      <c r="A354">
        <v>9022</v>
      </c>
      <c r="B354" t="s">
        <v>365</v>
      </c>
      <c r="E354" t="s">
        <v>321</v>
      </c>
      <c r="F354">
        <v>12</v>
      </c>
    </row>
    <row r="355" spans="1:6" x14ac:dyDescent="0.45">
      <c r="A355">
        <v>9024</v>
      </c>
      <c r="B355" t="s">
        <v>365</v>
      </c>
      <c r="E355" t="s">
        <v>322</v>
      </c>
      <c r="F355">
        <v>6</v>
      </c>
    </row>
    <row r="356" spans="1:6" x14ac:dyDescent="0.45">
      <c r="A356">
        <v>9041</v>
      </c>
      <c r="B356" t="s">
        <v>365</v>
      </c>
      <c r="E356" t="s">
        <v>323</v>
      </c>
      <c r="F356">
        <v>10</v>
      </c>
    </row>
    <row r="357" spans="1:6" x14ac:dyDescent="0.45">
      <c r="A357">
        <v>9064</v>
      </c>
      <c r="B357" t="s">
        <v>365</v>
      </c>
      <c r="E357" t="s">
        <v>324</v>
      </c>
      <c r="F357">
        <v>13</v>
      </c>
    </row>
    <row r="358" spans="1:6" x14ac:dyDescent="0.45">
      <c r="A358">
        <v>9065</v>
      </c>
      <c r="B358" t="s">
        <v>365</v>
      </c>
      <c r="E358" t="s">
        <v>325</v>
      </c>
      <c r="F358">
        <v>13</v>
      </c>
    </row>
    <row r="359" spans="1:6" x14ac:dyDescent="0.45">
      <c r="A359">
        <v>9069</v>
      </c>
      <c r="B359" t="s">
        <v>365</v>
      </c>
      <c r="E359" t="s">
        <v>326</v>
      </c>
      <c r="F359">
        <v>5</v>
      </c>
    </row>
    <row r="360" spans="1:6" x14ac:dyDescent="0.45">
      <c r="A360">
        <v>9090</v>
      </c>
      <c r="B360" t="s">
        <v>365</v>
      </c>
      <c r="E360" t="s">
        <v>404</v>
      </c>
      <c r="F360">
        <v>5</v>
      </c>
    </row>
    <row r="361" spans="1:6" x14ac:dyDescent="0.45">
      <c r="A361">
        <v>9101</v>
      </c>
      <c r="B361" t="s">
        <v>365</v>
      </c>
      <c r="E361" t="s">
        <v>327</v>
      </c>
      <c r="F361">
        <v>7</v>
      </c>
    </row>
    <row r="362" spans="1:6" x14ac:dyDescent="0.45">
      <c r="A362">
        <v>9104</v>
      </c>
      <c r="B362" t="s">
        <v>365</v>
      </c>
      <c r="E362" t="s">
        <v>328</v>
      </c>
      <c r="F362">
        <v>5</v>
      </c>
    </row>
    <row r="363" spans="1:6" x14ac:dyDescent="0.45">
      <c r="A363">
        <v>9107</v>
      </c>
      <c r="B363" t="s">
        <v>365</v>
      </c>
      <c r="E363" t="s">
        <v>329</v>
      </c>
      <c r="F363">
        <v>4</v>
      </c>
    </row>
    <row r="364" spans="1:6" x14ac:dyDescent="0.45">
      <c r="A364">
        <v>9110</v>
      </c>
      <c r="B364" t="s">
        <v>365</v>
      </c>
      <c r="E364" t="s">
        <v>330</v>
      </c>
      <c r="F364">
        <v>3</v>
      </c>
    </row>
    <row r="365" spans="1:6" x14ac:dyDescent="0.45">
      <c r="A365">
        <v>9119</v>
      </c>
      <c r="B365" t="s">
        <v>365</v>
      </c>
      <c r="E365" t="s">
        <v>331</v>
      </c>
      <c r="F365">
        <v>2</v>
      </c>
    </row>
    <row r="366" spans="1:6" x14ac:dyDescent="0.45">
      <c r="A366">
        <v>9142</v>
      </c>
      <c r="B366" t="s">
        <v>365</v>
      </c>
      <c r="E366" t="s">
        <v>332</v>
      </c>
      <c r="F366">
        <v>3</v>
      </c>
    </row>
    <row r="367" spans="1:6" x14ac:dyDescent="0.45">
      <c r="A367">
        <v>9143</v>
      </c>
      <c r="B367" t="s">
        <v>365</v>
      </c>
      <c r="E367" t="s">
        <v>333</v>
      </c>
      <c r="F367">
        <v>5</v>
      </c>
    </row>
    <row r="368" spans="1:6" x14ac:dyDescent="0.45">
      <c r="A368">
        <v>9147</v>
      </c>
      <c r="B368" t="s">
        <v>365</v>
      </c>
      <c r="E368" t="s">
        <v>405</v>
      </c>
      <c r="F368">
        <v>5</v>
      </c>
    </row>
    <row r="369" spans="1:6" x14ac:dyDescent="0.45">
      <c r="A369">
        <v>9201</v>
      </c>
      <c r="B369" t="s">
        <v>365</v>
      </c>
      <c r="E369" t="s">
        <v>334</v>
      </c>
      <c r="F369">
        <v>6</v>
      </c>
    </row>
    <row r="370" spans="1:6" x14ac:dyDescent="0.45">
      <c r="A370">
        <v>9202</v>
      </c>
      <c r="B370" t="s">
        <v>365</v>
      </c>
      <c r="E370" t="s">
        <v>335</v>
      </c>
      <c r="F370">
        <v>9</v>
      </c>
    </row>
    <row r="371" spans="1:6" x14ac:dyDescent="0.45">
      <c r="A371">
        <v>9302</v>
      </c>
      <c r="B371" t="s">
        <v>365</v>
      </c>
      <c r="E371" t="s">
        <v>336</v>
      </c>
      <c r="F371">
        <v>4</v>
      </c>
    </row>
    <row r="372" spans="1:6" x14ac:dyDescent="0.45">
      <c r="A372">
        <v>9418</v>
      </c>
      <c r="B372" t="s">
        <v>365</v>
      </c>
      <c r="E372" t="s">
        <v>406</v>
      </c>
      <c r="F372">
        <v>5</v>
      </c>
    </row>
    <row r="373" spans="1:6" x14ac:dyDescent="0.45">
      <c r="A373">
        <v>9432</v>
      </c>
      <c r="B373" t="s">
        <v>365</v>
      </c>
      <c r="E373" t="s">
        <v>407</v>
      </c>
      <c r="F373">
        <v>13</v>
      </c>
    </row>
    <row r="374" spans="1:6" x14ac:dyDescent="0.45">
      <c r="A374">
        <v>9433</v>
      </c>
      <c r="B374" t="s">
        <v>365</v>
      </c>
      <c r="E374" t="s">
        <v>408</v>
      </c>
      <c r="F374">
        <v>13</v>
      </c>
    </row>
    <row r="375" spans="1:6" x14ac:dyDescent="0.45">
      <c r="A375">
        <v>9434</v>
      </c>
      <c r="B375" t="s">
        <v>365</v>
      </c>
      <c r="E375" t="s">
        <v>0</v>
      </c>
      <c r="F375">
        <v>4</v>
      </c>
    </row>
    <row r="376" spans="1:6" x14ac:dyDescent="0.45">
      <c r="A376">
        <v>9435</v>
      </c>
      <c r="B376" t="s">
        <v>365</v>
      </c>
      <c r="E376" t="s">
        <v>337</v>
      </c>
      <c r="F376">
        <v>13</v>
      </c>
    </row>
    <row r="377" spans="1:6" x14ac:dyDescent="0.45">
      <c r="A377">
        <v>9449</v>
      </c>
      <c r="B377" t="s">
        <v>365</v>
      </c>
      <c r="E377" t="s">
        <v>409</v>
      </c>
      <c r="F377">
        <v>10</v>
      </c>
    </row>
    <row r="378" spans="1:6" x14ac:dyDescent="0.45">
      <c r="A378">
        <v>9502</v>
      </c>
      <c r="B378" t="s">
        <v>365</v>
      </c>
      <c r="E378" t="s">
        <v>338</v>
      </c>
      <c r="F378">
        <v>10</v>
      </c>
    </row>
    <row r="379" spans="1:6" x14ac:dyDescent="0.45">
      <c r="A379">
        <v>9503</v>
      </c>
      <c r="B379" t="s">
        <v>365</v>
      </c>
      <c r="E379" t="s">
        <v>339</v>
      </c>
      <c r="F379">
        <v>9</v>
      </c>
    </row>
    <row r="380" spans="1:6" x14ac:dyDescent="0.45">
      <c r="A380">
        <v>9506</v>
      </c>
      <c r="B380" t="s">
        <v>365</v>
      </c>
      <c r="E380" t="s">
        <v>340</v>
      </c>
      <c r="F380">
        <v>7</v>
      </c>
    </row>
    <row r="381" spans="1:6" x14ac:dyDescent="0.45">
      <c r="A381">
        <v>9507</v>
      </c>
      <c r="B381" t="s">
        <v>365</v>
      </c>
      <c r="E381" t="s">
        <v>341</v>
      </c>
      <c r="F381">
        <v>1</v>
      </c>
    </row>
    <row r="382" spans="1:6" x14ac:dyDescent="0.45">
      <c r="A382">
        <v>9508</v>
      </c>
      <c r="B382" t="s">
        <v>365</v>
      </c>
      <c r="E382" t="s">
        <v>342</v>
      </c>
      <c r="F382">
        <v>7</v>
      </c>
    </row>
    <row r="383" spans="1:6" x14ac:dyDescent="0.45">
      <c r="A383">
        <v>9509</v>
      </c>
      <c r="B383" t="s">
        <v>365</v>
      </c>
      <c r="E383" t="s">
        <v>343</v>
      </c>
      <c r="F383">
        <v>4</v>
      </c>
    </row>
    <row r="384" spans="1:6" x14ac:dyDescent="0.45">
      <c r="A384">
        <v>9513</v>
      </c>
      <c r="B384" t="s">
        <v>365</v>
      </c>
      <c r="E384" t="s">
        <v>344</v>
      </c>
      <c r="F384">
        <v>13</v>
      </c>
    </row>
    <row r="385" spans="1:6" x14ac:dyDescent="0.45">
      <c r="A385">
        <v>9531</v>
      </c>
      <c r="B385" t="s">
        <v>365</v>
      </c>
      <c r="E385" t="s">
        <v>345</v>
      </c>
      <c r="F385">
        <v>13</v>
      </c>
    </row>
    <row r="386" spans="1:6" x14ac:dyDescent="0.45">
      <c r="A386">
        <v>9532</v>
      </c>
      <c r="B386" t="s">
        <v>365</v>
      </c>
      <c r="E386" t="s">
        <v>346</v>
      </c>
      <c r="F386">
        <v>13</v>
      </c>
    </row>
    <row r="387" spans="1:6" x14ac:dyDescent="0.45">
      <c r="A387">
        <v>9602</v>
      </c>
      <c r="B387" t="s">
        <v>365</v>
      </c>
      <c r="E387" t="s">
        <v>347</v>
      </c>
      <c r="F387">
        <v>13</v>
      </c>
    </row>
    <row r="388" spans="1:6" x14ac:dyDescent="0.45">
      <c r="A388">
        <v>9684</v>
      </c>
      <c r="B388" t="s">
        <v>365</v>
      </c>
      <c r="E388" t="s">
        <v>348</v>
      </c>
      <c r="F388">
        <v>9</v>
      </c>
    </row>
    <row r="389" spans="1:6" x14ac:dyDescent="0.45">
      <c r="A389">
        <v>9697</v>
      </c>
      <c r="B389" t="s">
        <v>365</v>
      </c>
      <c r="E389" t="s">
        <v>349</v>
      </c>
      <c r="F389">
        <v>9</v>
      </c>
    </row>
    <row r="390" spans="1:6" x14ac:dyDescent="0.45">
      <c r="A390">
        <v>9719</v>
      </c>
      <c r="B390" t="s">
        <v>365</v>
      </c>
      <c r="E390" t="s">
        <v>410</v>
      </c>
      <c r="F390">
        <v>13</v>
      </c>
    </row>
    <row r="391" spans="1:6" x14ac:dyDescent="0.45">
      <c r="A391">
        <v>9735</v>
      </c>
      <c r="B391" t="s">
        <v>365</v>
      </c>
      <c r="E391" t="s">
        <v>350</v>
      </c>
      <c r="F391">
        <v>13</v>
      </c>
    </row>
    <row r="392" spans="1:6" x14ac:dyDescent="0.45">
      <c r="A392">
        <v>9744</v>
      </c>
      <c r="B392" t="s">
        <v>365</v>
      </c>
      <c r="E392" t="s">
        <v>351</v>
      </c>
      <c r="F392">
        <v>9</v>
      </c>
    </row>
    <row r="393" spans="1:6" x14ac:dyDescent="0.45">
      <c r="A393">
        <v>9759</v>
      </c>
      <c r="B393" t="s">
        <v>365</v>
      </c>
      <c r="E393" t="s">
        <v>352</v>
      </c>
      <c r="F393">
        <v>4</v>
      </c>
    </row>
    <row r="394" spans="1:6" x14ac:dyDescent="0.45">
      <c r="A394">
        <v>9766</v>
      </c>
      <c r="B394" t="s">
        <v>365</v>
      </c>
      <c r="E394" t="s">
        <v>353</v>
      </c>
      <c r="F394">
        <v>11</v>
      </c>
    </row>
    <row r="395" spans="1:6" x14ac:dyDescent="0.45">
      <c r="A395">
        <v>9843</v>
      </c>
      <c r="B395" t="s">
        <v>365</v>
      </c>
      <c r="E395" t="s">
        <v>354</v>
      </c>
      <c r="F395">
        <v>13</v>
      </c>
    </row>
    <row r="396" spans="1:6" x14ac:dyDescent="0.45">
      <c r="A396">
        <v>9962</v>
      </c>
      <c r="B396" t="s">
        <v>365</v>
      </c>
      <c r="E396" t="s">
        <v>355</v>
      </c>
      <c r="F396">
        <v>13</v>
      </c>
    </row>
    <row r="397" spans="1:6" x14ac:dyDescent="0.45">
      <c r="A397">
        <v>9983</v>
      </c>
      <c r="B397" t="s">
        <v>365</v>
      </c>
      <c r="E397" t="s">
        <v>356</v>
      </c>
      <c r="F397">
        <v>13</v>
      </c>
    </row>
    <row r="398" spans="1:6" x14ac:dyDescent="0.45">
      <c r="A398">
        <v>9984</v>
      </c>
      <c r="B398" t="s">
        <v>365</v>
      </c>
      <c r="E398" t="s">
        <v>357</v>
      </c>
      <c r="F398">
        <v>12</v>
      </c>
    </row>
    <row r="399" spans="1:6" x14ac:dyDescent="0.45">
      <c r="A399">
        <v>9989</v>
      </c>
      <c r="B399" t="s">
        <v>365</v>
      </c>
      <c r="E399" t="s">
        <v>358</v>
      </c>
      <c r="F399">
        <v>13</v>
      </c>
    </row>
    <row r="400" spans="1:6" x14ac:dyDescent="0.45">
      <c r="B400" t="s">
        <v>365</v>
      </c>
      <c r="E400" t="s">
        <v>411</v>
      </c>
      <c r="F400">
        <v>1</v>
      </c>
    </row>
  </sheetData>
  <phoneticPr fontId="1"/>
  <hyperlinks>
    <hyperlink ref="H1" r:id="rId1" xr:uid="{D3F9DC1D-DC53-4487-A7B6-05A233FB3365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48BE-C341-46A0-90DB-D1A4A5AFE294}">
  <sheetPr codeName="Sheet2"/>
  <dimension ref="A1:E399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8" x14ac:dyDescent="0.45"/>
  <cols>
    <col min="1" max="1" width="12" customWidth="1"/>
    <col min="2" max="2" width="31.69921875" bestFit="1" customWidth="1"/>
    <col min="3" max="3" width="9.3984375" bestFit="1" customWidth="1"/>
    <col min="4" max="4" width="39.69921875" bestFit="1" customWidth="1"/>
    <col min="5" max="5" width="79.5" bestFit="1" customWidth="1"/>
  </cols>
  <sheetData>
    <row r="1" spans="1:5" x14ac:dyDescent="0.45">
      <c r="A1" t="s">
        <v>413</v>
      </c>
      <c r="B1" t="s">
        <v>1</v>
      </c>
      <c r="C1" t="s">
        <v>359</v>
      </c>
      <c r="D1" t="s">
        <v>415</v>
      </c>
      <c r="E1" t="s">
        <v>414</v>
      </c>
    </row>
    <row r="2" spans="1:5" x14ac:dyDescent="0.45">
      <c r="A2">
        <f>_400_j_pdf[[#This Row],[コード]]</f>
        <v>1332</v>
      </c>
      <c r="B2" t="str" cm="1">
        <f t="array" ref="B2">_xll.RssMarket(jpx400chart[[#This Row],[コード]],jpx400chart[[#Headers],[銘柄名称]])</f>
        <v>ニッスイ</v>
      </c>
      <c r="C2" cm="1">
        <f t="array" ref="C2">_xll.RssMarket(jpx400chart[[#This Row],[コード]],jpx400chart[[#Headers],[現在値]])</f>
        <v>1303.5</v>
      </c>
      <c r="D2" t="str">
        <f>"'[jpx400_data.xlsm]"&amp;jpx400chart[[#This Row],[コード]]&amp;"'!"&amp;"tbl"&amp;jpx400chart[[#This Row],[コード]]&amp;"_[#見出し]"</f>
        <v>'[jpx400_data.xlsm]1332'!tbl1332_[#見出し]</v>
      </c>
      <c r="E2" t="str" cm="1">
        <f t="array" ref="E2">_xll.RssChartPast(INDIRECT(jpx400chart[[#This Row],[ヘッダー行]]), jpx400chart[[#This Row],[コード]], "D",20160401,3000)</f>
        <v>=RssChartPast(INDIRECT([@ヘッダー行]), [@コード], "D",20160401,3000) =&gt; 完了</v>
      </c>
    </row>
    <row r="3" spans="1:5" x14ac:dyDescent="0.45">
      <c r="A3">
        <f>_400_j_pdf[[#This Row],[コード]]</f>
        <v>1414</v>
      </c>
      <c r="B3" t="str" cm="1">
        <f t="array" ref="B3">_xll.RssMarket(jpx400chart[[#This Row],[コード]],jpx400chart[[#Headers],[銘柄名称]])</f>
        <v>ショーボンドＨＤ</v>
      </c>
      <c r="C3" cm="1">
        <f t="array" ref="C3">_xll.RssMarket(jpx400chart[[#This Row],[コード]],jpx400chart[[#Headers],[現在値]])</f>
        <v>1419</v>
      </c>
      <c r="D3" t="str">
        <f>"'[jpx400_data.xlsm]"&amp;jpx400chart[[#This Row],[コード]]&amp;"'!"&amp;"tbl"&amp;jpx400chart[[#This Row],[コード]]&amp;"_[#見出し]"</f>
        <v>'[jpx400_data.xlsm]1414'!tbl1414_[#見出し]</v>
      </c>
      <c r="E3" t="str" cm="1">
        <f t="array" ref="E3">_xll.RssChartPast(INDIRECT(jpx400chart[[#This Row],[ヘッダー行]]), jpx400chart[[#This Row],[コード]], "D",20160401,3000)</f>
        <v>=RssChartPast(INDIRECT([@ヘッダー行]), [@コード], "D",20160401,3000) =&gt; 完了</v>
      </c>
    </row>
    <row r="4" spans="1:5" x14ac:dyDescent="0.45">
      <c r="A4">
        <f>_400_j_pdf[[#This Row],[コード]]</f>
        <v>1419</v>
      </c>
      <c r="B4" t="str" cm="1">
        <f t="array" ref="B4">_xll.RssMarket(jpx400chart[[#This Row],[コード]],jpx400chart[[#Headers],[銘柄名称]])</f>
        <v>タマホーム</v>
      </c>
      <c r="C4" cm="1">
        <f t="array" ref="C4">_xll.RssMarket(jpx400chart[[#This Row],[コード]],jpx400chart[[#Headers],[現在値]])</f>
        <v>3710</v>
      </c>
      <c r="D4" t="str">
        <f>"'[jpx400_data.xlsm]"&amp;jpx400chart[[#This Row],[コード]]&amp;"'!"&amp;"tbl"&amp;jpx400chart[[#This Row],[コード]]&amp;"_[#見出し]"</f>
        <v>'[jpx400_data.xlsm]1419'!tbl1419_[#見出し]</v>
      </c>
      <c r="E4" t="str" cm="1">
        <f t="array" ref="E4">_xll.RssChartPast(INDIRECT(jpx400chart[[#This Row],[ヘッダー行]]), jpx400chart[[#This Row],[コード]], "D",20160401,3000)</f>
        <v>=RssChartPast(INDIRECT([@ヘッダー行]), [@コード], "D",20160401,3000) =&gt; 完了</v>
      </c>
    </row>
    <row r="5" spans="1:5" x14ac:dyDescent="0.45">
      <c r="A5">
        <f>_400_j_pdf[[#This Row],[コード]]</f>
        <v>1518</v>
      </c>
      <c r="B5" t="str" cm="1">
        <f t="array" ref="B5">_xll.RssMarket(jpx400chart[[#This Row],[コード]],jpx400chart[[#Headers],[銘柄名称]])</f>
        <v>三井松島ＨＬＤＧＳ</v>
      </c>
      <c r="C5" cm="1">
        <f t="array" ref="C5">_xll.RssMarket(jpx400chart[[#This Row],[コード]],jpx400chart[[#Headers],[現在値]])</f>
        <v>1424</v>
      </c>
      <c r="D5" t="str">
        <f>"'[jpx400_data.xlsm]"&amp;jpx400chart[[#This Row],[コード]]&amp;"'!"&amp;"tbl"&amp;jpx400chart[[#This Row],[コード]]&amp;"_[#見出し]"</f>
        <v>'[jpx400_data.xlsm]1518'!tbl1518_[#見出し]</v>
      </c>
      <c r="E5" t="str" cm="1">
        <f t="array" ref="E5">_xll.RssChartPast(INDIRECT(jpx400chart[[#This Row],[ヘッダー行]]), jpx400chart[[#This Row],[コード]], "D",20160401,3000)</f>
        <v>=RssChartPast(INDIRECT([@ヘッダー行]), [@コード], "D",20160401,3000) =&gt; 完了</v>
      </c>
    </row>
    <row r="6" spans="1:5" x14ac:dyDescent="0.45">
      <c r="A6">
        <f>_400_j_pdf[[#This Row],[コード]]</f>
        <v>1605</v>
      </c>
      <c r="B6" t="str" cm="1">
        <f t="array" ref="B6">_xll.RssMarket(jpx400chart[[#This Row],[コード]],jpx400chart[[#Headers],[銘柄名称]])</f>
        <v>ＩＮＰＥＸ</v>
      </c>
      <c r="C6" cm="1">
        <f t="array" ref="C6">_xll.RssMarket(jpx400chart[[#This Row],[コード]],jpx400chart[[#Headers],[現在値]])</f>
        <v>3258</v>
      </c>
      <c r="D6" t="str">
        <f>"'[jpx400_data.xlsm]"&amp;jpx400chart[[#This Row],[コード]]&amp;"'!"&amp;"tbl"&amp;jpx400chart[[#This Row],[コード]]&amp;"_[#見出し]"</f>
        <v>'[jpx400_data.xlsm]1605'!tbl1605_[#見出し]</v>
      </c>
      <c r="E6" t="str" cm="1">
        <f t="array" ref="E6">_xll.RssChartPast(INDIRECT(jpx400chart[[#This Row],[ヘッダー行]]), jpx400chart[[#This Row],[コード]], "D",20160401,3000)</f>
        <v>=RssChartPast(INDIRECT([@ヘッダー行]), [@コード], "D",20160401,3000) =&gt; 完了</v>
      </c>
    </row>
    <row r="7" spans="1:5" x14ac:dyDescent="0.45">
      <c r="A7">
        <f>_400_j_pdf[[#This Row],[コード]]</f>
        <v>1662</v>
      </c>
      <c r="B7" t="str" cm="1">
        <f t="array" ref="B7">_xll.RssMarket(jpx400chart[[#This Row],[コード]],jpx400chart[[#Headers],[銘柄名称]])</f>
        <v>石油資源開発</v>
      </c>
      <c r="C7" cm="1">
        <f t="array" ref="C7">_xll.RssMarket(jpx400chart[[#This Row],[コード]],jpx400chart[[#Headers],[現在値]])</f>
        <v>1910</v>
      </c>
      <c r="D7" t="str">
        <f>"'[jpx400_data.xlsm]"&amp;jpx400chart[[#This Row],[コード]]&amp;"'!"&amp;"tbl"&amp;jpx400chart[[#This Row],[コード]]&amp;"_[#見出し]"</f>
        <v>'[jpx400_data.xlsm]1662'!tbl1662_[#見出し]</v>
      </c>
      <c r="E7" t="str" cm="1">
        <f t="array" ref="E7">_xll.RssChartPast(INDIRECT(jpx400chart[[#This Row],[ヘッダー行]]), jpx400chart[[#This Row],[コード]], "D",20160401,3000)</f>
        <v>=RssChartPast(INDIRECT([@ヘッダー行]), [@コード], "D",20160401,3000) =&gt; 完了</v>
      </c>
    </row>
    <row r="8" spans="1:5" x14ac:dyDescent="0.45">
      <c r="A8">
        <f>_400_j_pdf[[#This Row],[コード]]</f>
        <v>1719</v>
      </c>
      <c r="B8" t="str" cm="1">
        <f t="array" ref="B8">_xll.RssMarket(jpx400chart[[#This Row],[コード]],jpx400chart[[#Headers],[銘柄名称]])</f>
        <v>安藤・間</v>
      </c>
      <c r="C8" cm="1">
        <f t="array" ref="C8">_xll.RssMarket(jpx400chart[[#This Row],[コード]],jpx400chart[[#Headers],[現在値]])</f>
        <v>2018</v>
      </c>
      <c r="D8" t="str">
        <f>"'[jpx400_data.xlsm]"&amp;jpx400chart[[#This Row],[コード]]&amp;"'!"&amp;"tbl"&amp;jpx400chart[[#This Row],[コード]]&amp;"_[#見出し]"</f>
        <v>'[jpx400_data.xlsm]1719'!tbl1719_[#見出し]</v>
      </c>
      <c r="E8" t="str" cm="1">
        <f t="array" ref="E8">_xll.RssChartPast(INDIRECT(jpx400chart[[#This Row],[ヘッダー行]]), jpx400chart[[#This Row],[コード]], "D",20160401,3000)</f>
        <v>=RssChartPast(INDIRECT([@ヘッダー行]), [@コード], "D",20160401,3000) =&gt; 完了</v>
      </c>
    </row>
    <row r="9" spans="1:5" x14ac:dyDescent="0.45">
      <c r="A9">
        <f>_400_j_pdf[[#This Row],[コード]]</f>
        <v>1721</v>
      </c>
      <c r="B9" t="str" cm="1">
        <f t="array" ref="B9">_xll.RssMarket(jpx400chart[[#This Row],[コード]],jpx400chart[[#Headers],[銘柄名称]])</f>
        <v>コムシスホールディングス</v>
      </c>
      <c r="C9" cm="1">
        <f t="array" ref="C9">_xll.RssMarket(jpx400chart[[#This Row],[コード]],jpx400chart[[#Headers],[現在値]])</f>
        <v>4912</v>
      </c>
      <c r="D9" t="str">
        <f>"'[jpx400_data.xlsm]"&amp;jpx400chart[[#This Row],[コード]]&amp;"'!"&amp;"tbl"&amp;jpx400chart[[#This Row],[コード]]&amp;"_[#見出し]"</f>
        <v>'[jpx400_data.xlsm]1721'!tbl1721_[#見出し]</v>
      </c>
      <c r="E9" t="str" cm="1">
        <f t="array" ref="E9">_xll.RssChartPast(INDIRECT(jpx400chart[[#This Row],[ヘッダー行]]), jpx400chart[[#This Row],[コード]], "D",20160401,3000)</f>
        <v>=RssChartPast(INDIRECT([@ヘッダー行]), [@コード], "D",20160401,3000) =&gt; 完了</v>
      </c>
    </row>
    <row r="10" spans="1:5" x14ac:dyDescent="0.45">
      <c r="A10">
        <f>_400_j_pdf[[#This Row],[コード]]</f>
        <v>1801</v>
      </c>
      <c r="B10" t="str" cm="1">
        <f t="array" ref="B10">_xll.RssMarket(jpx400chart[[#This Row],[コード]],jpx400chart[[#Headers],[銘柄名称]])</f>
        <v>大成建設</v>
      </c>
      <c r="C10" cm="1">
        <f t="array" ref="C10">_xll.RssMarket(jpx400chart[[#This Row],[コード]],jpx400chart[[#Headers],[現在値]])</f>
        <v>15520</v>
      </c>
      <c r="D10" t="str">
        <f>"'[jpx400_data.xlsm]"&amp;jpx400chart[[#This Row],[コード]]&amp;"'!"&amp;"tbl"&amp;jpx400chart[[#This Row],[コード]]&amp;"_[#見出し]"</f>
        <v>'[jpx400_data.xlsm]1801'!tbl1801_[#見出し]</v>
      </c>
      <c r="E10" t="str" cm="1">
        <f t="array" ref="E10">_xll.RssChartPast(INDIRECT(jpx400chart[[#This Row],[ヘッダー行]]), jpx400chart[[#This Row],[コード]], "D",20160401,3000)</f>
        <v>=RssChartPast(INDIRECT([@ヘッダー行]), [@コード], "D",20160401,3000) =&gt; 完了</v>
      </c>
    </row>
    <row r="11" spans="1:5" x14ac:dyDescent="0.45">
      <c r="A11">
        <f>_400_j_pdf[[#This Row],[コード]]</f>
        <v>1802</v>
      </c>
      <c r="B11" t="str" cm="1">
        <f t="array" ref="B11">_xll.RssMarket(jpx400chart[[#This Row],[コード]],jpx400chart[[#Headers],[銘柄名称]])</f>
        <v>大林組</v>
      </c>
      <c r="C11" cm="1">
        <f t="array" ref="C11">_xll.RssMarket(jpx400chart[[#This Row],[コード]],jpx400chart[[#Headers],[現在値]])</f>
        <v>3572</v>
      </c>
      <c r="D11" t="str">
        <f>"'[jpx400_data.xlsm]"&amp;jpx400chart[[#This Row],[コード]]&amp;"'!"&amp;"tbl"&amp;jpx400chart[[#This Row],[コード]]&amp;"_[#見出し]"</f>
        <v>'[jpx400_data.xlsm]1802'!tbl1802_[#見出し]</v>
      </c>
      <c r="E11" t="str" cm="1">
        <f t="array" ref="E11">_xll.RssChartPast(INDIRECT(jpx400chart[[#This Row],[ヘッダー行]]), jpx400chart[[#This Row],[コード]], "D",20160401,3000)</f>
        <v>=RssChartPast(INDIRECT([@ヘッダー行]), [@コード], "D",20160401,3000) =&gt; 完了</v>
      </c>
    </row>
    <row r="12" spans="1:5" x14ac:dyDescent="0.45">
      <c r="A12">
        <f>_400_j_pdf[[#This Row],[コード]]</f>
        <v>1808</v>
      </c>
      <c r="B12" t="str" cm="1">
        <f t="array" ref="B12">_xll.RssMarket(jpx400chart[[#This Row],[コード]],jpx400chart[[#Headers],[銘柄名称]])</f>
        <v>長谷工コーポレーシヨン</v>
      </c>
      <c r="C12" cm="1">
        <f t="array" ref="C12">_xll.RssMarket(jpx400chart[[#This Row],[コード]],jpx400chart[[#Headers],[現在値]])</f>
        <v>3220</v>
      </c>
      <c r="D12" t="str">
        <f>"'[jpx400_data.xlsm]"&amp;jpx400chart[[#This Row],[コード]]&amp;"'!"&amp;"tbl"&amp;jpx400chart[[#This Row],[コード]]&amp;"_[#見出し]"</f>
        <v>'[jpx400_data.xlsm]1808'!tbl1808_[#見出し]</v>
      </c>
      <c r="E12" t="str" cm="1">
        <f t="array" ref="E12">_xll.RssChartPast(INDIRECT(jpx400chart[[#This Row],[ヘッダー行]]), jpx400chart[[#This Row],[コード]], "D",20160401,3000)</f>
        <v>=RssChartPast(INDIRECT([@ヘッダー行]), [@コード], "D",20160401,3000) =&gt; 完了</v>
      </c>
    </row>
    <row r="13" spans="1:5" x14ac:dyDescent="0.45">
      <c r="A13">
        <f>_400_j_pdf[[#This Row],[コード]]</f>
        <v>1812</v>
      </c>
      <c r="B13" t="str" cm="1">
        <f t="array" ref="B13">_xll.RssMarket(jpx400chart[[#This Row],[コード]],jpx400chart[[#Headers],[銘柄名称]])</f>
        <v>鹿島建設</v>
      </c>
      <c r="C13" cm="1">
        <f t="array" ref="C13">_xll.RssMarket(jpx400chart[[#This Row],[コード]],jpx400chart[[#Headers],[現在値]])</f>
        <v>6460</v>
      </c>
      <c r="D13" t="str">
        <f>"'[jpx400_data.xlsm]"&amp;jpx400chart[[#This Row],[コード]]&amp;"'!"&amp;"tbl"&amp;jpx400chart[[#This Row],[コード]]&amp;"_[#見出し]"</f>
        <v>'[jpx400_data.xlsm]1812'!tbl1812_[#見出し]</v>
      </c>
      <c r="E13" t="str" cm="1">
        <f t="array" ref="E13">_xll.RssChartPast(INDIRECT(jpx400chart[[#This Row],[ヘッダー行]]), jpx400chart[[#This Row],[コード]], "D",20160401,3000)</f>
        <v>=RssChartPast(INDIRECT([@ヘッダー行]), [@コード], "D",20160401,3000) =&gt; 完了</v>
      </c>
    </row>
    <row r="14" spans="1:5" x14ac:dyDescent="0.45">
      <c r="A14">
        <f>_400_j_pdf[[#This Row],[コード]]</f>
        <v>1878</v>
      </c>
      <c r="B14" t="str" cm="1">
        <f t="array" ref="B14">_xll.RssMarket(jpx400chart[[#This Row],[コード]],jpx400chart[[#Headers],[銘柄名称]])</f>
        <v>大東建託</v>
      </c>
      <c r="C14" cm="1">
        <f t="array" ref="C14">_xll.RssMarket(jpx400chart[[#This Row],[コード]],jpx400chart[[#Headers],[現在値]])</f>
        <v>3068</v>
      </c>
      <c r="D14" t="str">
        <f>"'[jpx400_data.xlsm]"&amp;jpx400chart[[#This Row],[コード]]&amp;"'!"&amp;"tbl"&amp;jpx400chart[[#This Row],[コード]]&amp;"_[#見出し]"</f>
        <v>'[jpx400_data.xlsm]1878'!tbl1878_[#見出し]</v>
      </c>
      <c r="E14" t="str" cm="1">
        <f t="array" ref="E14">_xll.RssChartPast(INDIRECT(jpx400chart[[#This Row],[ヘッダー行]]), jpx400chart[[#This Row],[コード]], "D",20160401,3000)</f>
        <v>=RssChartPast(INDIRECT([@ヘッダー行]), [@コード], "D",20160401,3000) =&gt; 完了</v>
      </c>
    </row>
    <row r="15" spans="1:5" x14ac:dyDescent="0.45">
      <c r="A15">
        <f>_400_j_pdf[[#This Row],[コード]]</f>
        <v>1911</v>
      </c>
      <c r="B15" t="str" cm="1">
        <f t="array" ref="B15">_xll.RssMarket(jpx400chart[[#This Row],[コード]],jpx400chart[[#Headers],[銘柄名称]])</f>
        <v>住友林業</v>
      </c>
      <c r="C15" cm="1">
        <f t="array" ref="C15">_xll.RssMarket(jpx400chart[[#This Row],[コード]],jpx400chart[[#Headers],[現在値]])</f>
        <v>1649.5</v>
      </c>
      <c r="D15" t="str">
        <f>"'[jpx400_data.xlsm]"&amp;jpx400chart[[#This Row],[コード]]&amp;"'!"&amp;"tbl"&amp;jpx400chart[[#This Row],[コード]]&amp;"_[#見出し]"</f>
        <v>'[jpx400_data.xlsm]1911'!tbl1911_[#見出し]</v>
      </c>
      <c r="E15" t="str" cm="1">
        <f t="array" ref="E15">_xll.RssChartPast(INDIRECT(jpx400chart[[#This Row],[ヘッダー行]]), jpx400chart[[#This Row],[コード]], "D",20160401,3000)</f>
        <v>=RssChartPast(INDIRECT([@ヘッダー行]), [@コード], "D",20160401,3000) =&gt; 完了</v>
      </c>
    </row>
    <row r="16" spans="1:5" x14ac:dyDescent="0.45">
      <c r="A16">
        <f>_400_j_pdf[[#This Row],[コード]]</f>
        <v>1925</v>
      </c>
      <c r="B16" t="str" cm="1">
        <f t="array" ref="B16">_xll.RssMarket(jpx400chart[[#This Row],[コード]],jpx400chart[[#Headers],[銘柄名称]])</f>
        <v>大和ハウス</v>
      </c>
      <c r="C16" cm="1">
        <f t="array" ref="C16">_xll.RssMarket(jpx400chart[[#This Row],[コード]],jpx400chart[[#Headers],[現在値]])</f>
        <v>5271</v>
      </c>
      <c r="D16" t="str">
        <f>"'[jpx400_data.xlsm]"&amp;jpx400chart[[#This Row],[コード]]&amp;"'!"&amp;"tbl"&amp;jpx400chart[[#This Row],[コード]]&amp;"_[#見出し]"</f>
        <v>'[jpx400_data.xlsm]1925'!tbl1925_[#見出し]</v>
      </c>
      <c r="E16" t="str" cm="1">
        <f t="array" ref="E16">_xll.RssChartPast(INDIRECT(jpx400chart[[#This Row],[ヘッダー行]]), jpx400chart[[#This Row],[コード]], "D",20160401,3000)</f>
        <v>=RssChartPast(INDIRECT([@ヘッダー行]), [@コード], "D",20160401,3000) =&gt; 完了</v>
      </c>
    </row>
    <row r="17" spans="1:5" x14ac:dyDescent="0.45">
      <c r="A17">
        <f>_400_j_pdf[[#This Row],[コード]]</f>
        <v>1928</v>
      </c>
      <c r="B17" t="str" cm="1">
        <f t="array" ref="B17">_xll.RssMarket(jpx400chart[[#This Row],[コード]],jpx400chart[[#Headers],[銘柄名称]])</f>
        <v>積水ハウス</v>
      </c>
      <c r="C17" cm="1">
        <f t="array" ref="C17">_xll.RssMarket(jpx400chart[[#This Row],[コード]],jpx400chart[[#Headers],[現在値]])</f>
        <v>3528</v>
      </c>
      <c r="D17" t="str">
        <f>"'[jpx400_data.xlsm]"&amp;jpx400chart[[#This Row],[コード]]&amp;"'!"&amp;"tbl"&amp;jpx400chart[[#This Row],[コード]]&amp;"_[#見出し]"</f>
        <v>'[jpx400_data.xlsm]1928'!tbl1928_[#見出し]</v>
      </c>
      <c r="E17" t="str" cm="1">
        <f t="array" ref="E17">_xll.RssChartPast(INDIRECT(jpx400chart[[#This Row],[ヘッダー行]]), jpx400chart[[#This Row],[コード]], "D",20160401,3000)</f>
        <v>=RssChartPast(INDIRECT([@ヘッダー行]), [@コード], "D",20160401,3000) =&gt; 完了</v>
      </c>
    </row>
    <row r="18" spans="1:5" x14ac:dyDescent="0.45">
      <c r="A18">
        <f>_400_j_pdf[[#This Row],[コード]]</f>
        <v>1942</v>
      </c>
      <c r="B18" t="str" cm="1">
        <f t="array" ref="B18">_xll.RssMarket(jpx400chart[[#This Row],[コード]],jpx400chart[[#Headers],[銘柄名称]])</f>
        <v>関電工</v>
      </c>
      <c r="C18" cm="1">
        <f t="array" ref="C18">_xll.RssMarket(jpx400chart[[#This Row],[コード]],jpx400chart[[#Headers],[現在値]])</f>
        <v>5472</v>
      </c>
      <c r="D18" t="str">
        <f>"'[jpx400_data.xlsm]"&amp;jpx400chart[[#This Row],[コード]]&amp;"'!"&amp;"tbl"&amp;jpx400chart[[#This Row],[コード]]&amp;"_[#見出し]"</f>
        <v>'[jpx400_data.xlsm]1942'!tbl1942_[#見出し]</v>
      </c>
      <c r="E18" t="str" cm="1">
        <f t="array" ref="E18">_xll.RssChartPast(INDIRECT(jpx400chart[[#This Row],[ヘッダー行]]), jpx400chart[[#This Row],[コード]], "D",20160401,3000)</f>
        <v>=RssChartPast(INDIRECT([@ヘッダー行]), [@コード], "D",20160401,3000) =&gt; 完了</v>
      </c>
    </row>
    <row r="19" spans="1:5" x14ac:dyDescent="0.45">
      <c r="A19">
        <f>_400_j_pdf[[#This Row],[コード]]</f>
        <v>1951</v>
      </c>
      <c r="B19" t="str" cm="1">
        <f t="array" ref="B19">_xll.RssMarket(jpx400chart[[#This Row],[コード]],jpx400chart[[#Headers],[銘柄名称]])</f>
        <v>エクシオグループ</v>
      </c>
      <c r="C19" cm="1">
        <f t="array" ref="C19">_xll.RssMarket(jpx400chart[[#This Row],[コード]],jpx400chart[[#Headers],[現在値]])</f>
        <v>2654.5</v>
      </c>
      <c r="D19" t="str">
        <f>"'[jpx400_data.xlsm]"&amp;jpx400chart[[#This Row],[コード]]&amp;"'!"&amp;"tbl"&amp;jpx400chart[[#This Row],[コード]]&amp;"_[#見出し]"</f>
        <v>'[jpx400_data.xlsm]1951'!tbl1951_[#見出し]</v>
      </c>
      <c r="E19" t="str" cm="1">
        <f t="array" ref="E19">_xll.RssChartPast(INDIRECT(jpx400chart[[#This Row],[ヘッダー行]]), jpx400chart[[#This Row],[コード]], "D",20160401,3000)</f>
        <v>=RssChartPast(INDIRECT([@ヘッダー行]), [@コード], "D",20160401,3000) =&gt; 完了</v>
      </c>
    </row>
    <row r="20" spans="1:5" x14ac:dyDescent="0.45">
      <c r="A20">
        <f>_400_j_pdf[[#This Row],[コード]]</f>
        <v>1959</v>
      </c>
      <c r="B20" t="str" cm="1">
        <f t="array" ref="B20">_xll.RssMarket(jpx400chart[[#This Row],[コード]],jpx400chart[[#Headers],[銘柄名称]])</f>
        <v>クラフティア</v>
      </c>
      <c r="C20" cm="1">
        <f t="array" ref="C20">_xll.RssMarket(jpx400chart[[#This Row],[コード]],jpx400chart[[#Headers],[現在値]])</f>
        <v>8325</v>
      </c>
      <c r="D20" t="str">
        <f>"'[jpx400_data.xlsm]"&amp;jpx400chart[[#This Row],[コード]]&amp;"'!"&amp;"tbl"&amp;jpx400chart[[#This Row],[コード]]&amp;"_[#見出し]"</f>
        <v>'[jpx400_data.xlsm]1959'!tbl1959_[#見出し]</v>
      </c>
      <c r="E20" t="str" cm="1">
        <f t="array" ref="E20">_xll.RssChartPast(INDIRECT(jpx400chart[[#This Row],[ヘッダー行]]), jpx400chart[[#This Row],[コード]], "D",20160401,3000)</f>
        <v>=RssChartPast(INDIRECT([@ヘッダー行]), [@コード], "D",20160401,3000) =&gt; 完了</v>
      </c>
    </row>
    <row r="21" spans="1:5" x14ac:dyDescent="0.45">
      <c r="A21">
        <f>_400_j_pdf[[#This Row],[コード]]</f>
        <v>1969</v>
      </c>
      <c r="B21" t="str" cm="1">
        <f t="array" ref="B21">_xll.RssMarket(jpx400chart[[#This Row],[コード]],jpx400chart[[#Headers],[銘柄名称]])</f>
        <v>高砂熱学</v>
      </c>
      <c r="C21" cm="1">
        <f t="array" ref="C21">_xll.RssMarket(jpx400chart[[#This Row],[コード]],jpx400chart[[#Headers],[現在値]])</f>
        <v>4593</v>
      </c>
      <c r="D21" t="str">
        <f>"'[jpx400_data.xlsm]"&amp;jpx400chart[[#This Row],[コード]]&amp;"'!"&amp;"tbl"&amp;jpx400chart[[#This Row],[コード]]&amp;"_[#見出し]"</f>
        <v>'[jpx400_data.xlsm]1969'!tbl1969_[#見出し]</v>
      </c>
      <c r="E21" t="str" cm="1">
        <f t="array" ref="E21">_xll.RssChartPast(INDIRECT(jpx400chart[[#This Row],[ヘッダー行]]), jpx400chart[[#This Row],[コード]], "D",20160401,3000)</f>
        <v>=RssChartPast(INDIRECT([@ヘッダー行]), [@コード], "D",20160401,3000) =&gt; 完了</v>
      </c>
    </row>
    <row r="22" spans="1:5" x14ac:dyDescent="0.45">
      <c r="A22">
        <f>_400_j_pdf[[#This Row],[コード]]</f>
        <v>2124</v>
      </c>
      <c r="B22" t="str" cm="1">
        <f t="array" ref="B22">_xll.RssMarket(jpx400chart[[#This Row],[コード]],jpx400chart[[#Headers],[銘柄名称]])</f>
        <v>ジェイエイシーリクルートメント</v>
      </c>
      <c r="C22" cm="1">
        <f t="array" ref="C22">_xll.RssMarket(jpx400chart[[#This Row],[コード]],jpx400chart[[#Headers],[現在値]])</f>
        <v>999</v>
      </c>
      <c r="D22" t="str">
        <f>"'[jpx400_data.xlsm]"&amp;jpx400chart[[#This Row],[コード]]&amp;"'!"&amp;"tbl"&amp;jpx400chart[[#This Row],[コード]]&amp;"_[#見出し]"</f>
        <v>'[jpx400_data.xlsm]2124'!tbl2124_[#見出し]</v>
      </c>
      <c r="E22" t="str" cm="1">
        <f t="array" ref="E22">_xll.RssChartPast(INDIRECT(jpx400chart[[#This Row],[ヘッダー行]]), jpx400chart[[#This Row],[コード]], "D",20160401,3000)</f>
        <v>=RssChartPast(INDIRECT([@ヘッダー行]), [@コード], "D",20160401,3000) =&gt; 完了</v>
      </c>
    </row>
    <row r="23" spans="1:5" x14ac:dyDescent="0.45">
      <c r="A23">
        <f>_400_j_pdf[[#This Row],[コード]]</f>
        <v>2127</v>
      </c>
      <c r="B23" t="str" cm="1">
        <f t="array" ref="B23">_xll.RssMarket(jpx400chart[[#This Row],[コード]],jpx400chart[[#Headers],[銘柄名称]])</f>
        <v>日本Ｍ＆Ａセンターホールデ</v>
      </c>
      <c r="C23" cm="1">
        <f t="array" ref="C23">_xll.RssMarket(jpx400chart[[#This Row],[コード]],jpx400chart[[#Headers],[現在値]])</f>
        <v>717.1</v>
      </c>
      <c r="D23" t="str">
        <f>"'[jpx400_data.xlsm]"&amp;jpx400chart[[#This Row],[コード]]&amp;"'!"&amp;"tbl"&amp;jpx400chart[[#This Row],[コード]]&amp;"_[#見出し]"</f>
        <v>'[jpx400_data.xlsm]2127'!tbl2127_[#見出し]</v>
      </c>
      <c r="E23" t="str" cm="1">
        <f t="array" ref="E23">_xll.RssChartPast(INDIRECT(jpx400chart[[#This Row],[ヘッダー行]]), jpx400chart[[#This Row],[コード]], "D",20160401,3000)</f>
        <v>=RssChartPast(INDIRECT([@ヘッダー行]), [@コード], "D",20160401,3000) =&gt; 完了</v>
      </c>
    </row>
    <row r="24" spans="1:5" x14ac:dyDescent="0.45">
      <c r="A24">
        <f>_400_j_pdf[[#This Row],[コード]]</f>
        <v>2154</v>
      </c>
      <c r="B24" t="str" cm="1">
        <f t="array" ref="B24">_xll.RssMarket(jpx400chart[[#This Row],[コード]],jpx400chart[[#Headers],[銘柄名称]])</f>
        <v>オープンアップグループ</v>
      </c>
      <c r="C24" cm="1">
        <f t="array" ref="C24">_xll.RssMarket(jpx400chart[[#This Row],[コード]],jpx400chart[[#Headers],[現在値]])</f>
        <v>1889</v>
      </c>
      <c r="D24" t="str">
        <f>"'[jpx400_data.xlsm]"&amp;jpx400chart[[#This Row],[コード]]&amp;"'!"&amp;"tbl"&amp;jpx400chart[[#This Row],[コード]]&amp;"_[#見出し]"</f>
        <v>'[jpx400_data.xlsm]2154'!tbl2154_[#見出し]</v>
      </c>
      <c r="E24" t="str" cm="1">
        <f t="array" ref="E24">_xll.RssChartPast(INDIRECT(jpx400chart[[#This Row],[ヘッダー行]]), jpx400chart[[#This Row],[コード]], "D",20160401,3000)</f>
        <v>=RssChartPast(INDIRECT([@ヘッダー行]), [@コード], "D",20160401,3000) =&gt; 完了</v>
      </c>
    </row>
    <row r="25" spans="1:5" x14ac:dyDescent="0.45">
      <c r="A25">
        <f>_400_j_pdf[[#This Row],[コード]]</f>
        <v>2168</v>
      </c>
      <c r="B25" t="str" cm="1">
        <f t="array" ref="B25">_xll.RssMarket(jpx400chart[[#This Row],[コード]],jpx400chart[[#Headers],[銘柄名称]])</f>
        <v>パソナグループ</v>
      </c>
      <c r="C25" cm="1">
        <f t="array" ref="C25">_xll.RssMarket(jpx400chart[[#This Row],[コード]],jpx400chart[[#Headers],[現在値]])</f>
        <v>2059</v>
      </c>
      <c r="D25" t="str">
        <f>"'[jpx400_data.xlsm]"&amp;jpx400chart[[#This Row],[コード]]&amp;"'!"&amp;"tbl"&amp;jpx400chart[[#This Row],[コード]]&amp;"_[#見出し]"</f>
        <v>'[jpx400_data.xlsm]2168'!tbl2168_[#見出し]</v>
      </c>
      <c r="E25" t="str" cm="1">
        <f t="array" ref="E25">_xll.RssChartPast(INDIRECT(jpx400chart[[#This Row],[ヘッダー行]]), jpx400chart[[#This Row],[コード]], "D",20160401,3000)</f>
        <v>=RssChartPast(INDIRECT([@ヘッダー行]), [@コード], "D",20160401,3000) =&gt; 完了</v>
      </c>
    </row>
    <row r="26" spans="1:5" x14ac:dyDescent="0.45">
      <c r="A26">
        <f>_400_j_pdf[[#This Row],[コード]]</f>
        <v>2181</v>
      </c>
      <c r="B26" t="str" cm="1">
        <f t="array" ref="B26">_xll.RssMarket(jpx400chart[[#This Row],[コード]],jpx400chart[[#Headers],[銘柄名称]])</f>
        <v>パーソルホールディングス</v>
      </c>
      <c r="C26" cm="1">
        <f t="array" ref="C26">_xll.RssMarket(jpx400chart[[#This Row],[コード]],jpx400chart[[#Headers],[現在値]])</f>
        <v>275</v>
      </c>
      <c r="D26" t="str">
        <f>"'[jpx400_data.xlsm]"&amp;jpx400chart[[#This Row],[コード]]&amp;"'!"&amp;"tbl"&amp;jpx400chart[[#This Row],[コード]]&amp;"_[#見出し]"</f>
        <v>'[jpx400_data.xlsm]2181'!tbl2181_[#見出し]</v>
      </c>
      <c r="E26" t="str" cm="1">
        <f t="array" ref="E26">_xll.RssChartPast(INDIRECT(jpx400chart[[#This Row],[ヘッダー行]]), jpx400chart[[#This Row],[コード]], "D",20160401,3000)</f>
        <v>=RssChartPast(INDIRECT([@ヘッダー行]), [@コード], "D",20160401,3000) =&gt; 完了</v>
      </c>
    </row>
    <row r="27" spans="1:5" x14ac:dyDescent="0.45">
      <c r="A27">
        <f>_400_j_pdf[[#This Row],[コード]]</f>
        <v>2201</v>
      </c>
      <c r="B27" t="str" cm="1">
        <f t="array" ref="B27">_xll.RssMarket(jpx400chart[[#This Row],[コード]],jpx400chart[[#Headers],[銘柄名称]])</f>
        <v>森永製菓</v>
      </c>
      <c r="C27" cm="1">
        <f t="array" ref="C27">_xll.RssMarket(jpx400chart[[#This Row],[コード]],jpx400chart[[#Headers],[現在値]])</f>
        <v>2756</v>
      </c>
      <c r="D27" t="str">
        <f>"'[jpx400_data.xlsm]"&amp;jpx400chart[[#This Row],[コード]]&amp;"'!"&amp;"tbl"&amp;jpx400chart[[#This Row],[コード]]&amp;"_[#見出し]"</f>
        <v>'[jpx400_data.xlsm]2201'!tbl2201_[#見出し]</v>
      </c>
      <c r="E27" t="str" cm="1">
        <f t="array" ref="E27">_xll.RssChartPast(INDIRECT(jpx400chart[[#This Row],[ヘッダー行]]), jpx400chart[[#This Row],[コード]], "D",20160401,3000)</f>
        <v>=RssChartPast(INDIRECT([@ヘッダー行]), [@コード], "D",20160401,3000) =&gt; 完了</v>
      </c>
    </row>
    <row r="28" spans="1:5" x14ac:dyDescent="0.45">
      <c r="A28">
        <f>_400_j_pdf[[#This Row],[コード]]</f>
        <v>2222</v>
      </c>
      <c r="B28" t="str" cm="1">
        <f t="array" ref="B28">_xll.RssMarket(jpx400chart[[#This Row],[コード]],jpx400chart[[#Headers],[銘柄名称]])</f>
        <v>寿スピリッツ</v>
      </c>
      <c r="C28" cm="1">
        <f t="array" ref="C28">_xll.RssMarket(jpx400chart[[#This Row],[コード]],jpx400chart[[#Headers],[現在値]])</f>
        <v>1790.5</v>
      </c>
      <c r="D28" t="str">
        <f>"'[jpx400_data.xlsm]"&amp;jpx400chart[[#This Row],[コード]]&amp;"'!"&amp;"tbl"&amp;jpx400chart[[#This Row],[コード]]&amp;"_[#見出し]"</f>
        <v>'[jpx400_data.xlsm]2222'!tbl2222_[#見出し]</v>
      </c>
      <c r="E28" t="str" cm="1">
        <f t="array" ref="E28">_xll.RssChartPast(INDIRECT(jpx400chart[[#This Row],[ヘッダー行]]), jpx400chart[[#This Row],[コード]], "D",20160401,3000)</f>
        <v>=RssChartPast(INDIRECT([@ヘッダー行]), [@コード], "D",20160401,3000) =&gt; 完了</v>
      </c>
    </row>
    <row r="29" spans="1:5" x14ac:dyDescent="0.45">
      <c r="A29">
        <f>_400_j_pdf[[#This Row],[コード]]</f>
        <v>2229</v>
      </c>
      <c r="B29" t="str" cm="1">
        <f t="array" ref="B29">_xll.RssMarket(jpx400chart[[#This Row],[コード]],jpx400chart[[#Headers],[銘柄名称]])</f>
        <v>カルビー</v>
      </c>
      <c r="C29" cm="1">
        <f t="array" ref="C29">_xll.RssMarket(jpx400chart[[#This Row],[コード]],jpx400chart[[#Headers],[現在値]])</f>
        <v>3070</v>
      </c>
      <c r="D29" t="str">
        <f>"'[jpx400_data.xlsm]"&amp;jpx400chart[[#This Row],[コード]]&amp;"'!"&amp;"tbl"&amp;jpx400chart[[#This Row],[コード]]&amp;"_[#見出し]"</f>
        <v>'[jpx400_data.xlsm]2229'!tbl2229_[#見出し]</v>
      </c>
      <c r="E29" t="str" cm="1">
        <f t="array" ref="E29">_xll.RssChartPast(INDIRECT(jpx400chart[[#This Row],[ヘッダー行]]), jpx400chart[[#This Row],[コード]], "D",20160401,3000)</f>
        <v>=RssChartPast(INDIRECT([@ヘッダー行]), [@コード], "D",20160401,3000) =&gt; 完了</v>
      </c>
    </row>
    <row r="30" spans="1:5" x14ac:dyDescent="0.45">
      <c r="A30">
        <f>_400_j_pdf[[#This Row],[コード]]</f>
        <v>2264</v>
      </c>
      <c r="B30" t="str" cm="1">
        <f t="array" ref="B30">_xll.RssMarket(jpx400chart[[#This Row],[コード]],jpx400chart[[#Headers],[銘柄名称]])</f>
        <v>森永乳業</v>
      </c>
      <c r="C30" cm="1">
        <f t="array" ref="C30">_xll.RssMarket(jpx400chart[[#This Row],[コード]],jpx400chart[[#Headers],[現在値]])</f>
        <v>4054</v>
      </c>
      <c r="D30" t="str">
        <f>"'[jpx400_data.xlsm]"&amp;jpx400chart[[#This Row],[コード]]&amp;"'!"&amp;"tbl"&amp;jpx400chart[[#This Row],[コード]]&amp;"_[#見出し]"</f>
        <v>'[jpx400_data.xlsm]2264'!tbl2264_[#見出し]</v>
      </c>
      <c r="E30" t="str" cm="1">
        <f t="array" ref="E30">_xll.RssChartPast(INDIRECT(jpx400chart[[#This Row],[ヘッダー行]]), jpx400chart[[#This Row],[コード]], "D",20160401,3000)</f>
        <v>=RssChartPast(INDIRECT([@ヘッダー行]), [@コード], "D",20160401,3000) =&gt; 完了</v>
      </c>
    </row>
    <row r="31" spans="1:5" x14ac:dyDescent="0.45">
      <c r="A31">
        <f>_400_j_pdf[[#This Row],[コード]]</f>
        <v>2267</v>
      </c>
      <c r="B31" t="str" cm="1">
        <f t="array" ref="B31">_xll.RssMarket(jpx400chart[[#This Row],[コード]],jpx400chart[[#Headers],[銘柄名称]])</f>
        <v>ヤクルト</v>
      </c>
      <c r="C31" cm="1">
        <f t="array" ref="C31">_xll.RssMarket(jpx400chart[[#This Row],[コード]],jpx400chart[[#Headers],[現在値]])</f>
        <v>2510</v>
      </c>
      <c r="D31" t="str">
        <f>"'[jpx400_data.xlsm]"&amp;jpx400chart[[#This Row],[コード]]&amp;"'!"&amp;"tbl"&amp;jpx400chart[[#This Row],[コード]]&amp;"_[#見出し]"</f>
        <v>'[jpx400_data.xlsm]2267'!tbl2267_[#見出し]</v>
      </c>
      <c r="E31" t="str" cm="1">
        <f t="array" ref="E31">_xll.RssChartPast(INDIRECT(jpx400chart[[#This Row],[ヘッダー行]]), jpx400chart[[#This Row],[コード]], "D",20160401,3000)</f>
        <v>=RssChartPast(INDIRECT([@ヘッダー行]), [@コード], "D",20160401,3000) =&gt; 完了</v>
      </c>
    </row>
    <row r="32" spans="1:5" x14ac:dyDescent="0.45">
      <c r="A32">
        <f>_400_j_pdf[[#This Row],[コード]]</f>
        <v>2269</v>
      </c>
      <c r="B32" t="str" cm="1">
        <f t="array" ref="B32">_xll.RssMarket(jpx400chart[[#This Row],[コード]],jpx400chart[[#Headers],[銘柄名称]])</f>
        <v>明治ホールディングス</v>
      </c>
      <c r="C32" cm="1">
        <f t="array" ref="C32">_xll.RssMarket(jpx400chart[[#This Row],[コード]],jpx400chart[[#Headers],[現在値]])</f>
        <v>3715</v>
      </c>
      <c r="D32" t="str">
        <f>"'[jpx400_data.xlsm]"&amp;jpx400chart[[#This Row],[コード]]&amp;"'!"&amp;"tbl"&amp;jpx400chart[[#This Row],[コード]]&amp;"_[#見出し]"</f>
        <v>'[jpx400_data.xlsm]2269'!tbl2269_[#見出し]</v>
      </c>
      <c r="E32" t="str" cm="1">
        <f t="array" ref="E32">_xll.RssChartPast(INDIRECT(jpx400chart[[#This Row],[ヘッダー行]]), jpx400chart[[#This Row],[コード]], "D",20160401,3000)</f>
        <v>=RssChartPast(INDIRECT([@ヘッダー行]), [@コード], "D",20160401,3000) =&gt; 完了</v>
      </c>
    </row>
    <row r="33" spans="1:5" x14ac:dyDescent="0.45">
      <c r="A33">
        <f>_400_j_pdf[[#This Row],[コード]]</f>
        <v>2317</v>
      </c>
      <c r="B33" t="str" cm="1">
        <f t="array" ref="B33">_xll.RssMarket(jpx400chart[[#This Row],[コード]],jpx400chart[[#Headers],[銘柄名称]])</f>
        <v>システナ</v>
      </c>
      <c r="C33" cm="1">
        <f t="array" ref="C33">_xll.RssMarket(jpx400chart[[#This Row],[コード]],jpx400chart[[#Headers],[現在値]])</f>
        <v>505</v>
      </c>
      <c r="D33" t="str">
        <f>"'[jpx400_data.xlsm]"&amp;jpx400chart[[#This Row],[コード]]&amp;"'!"&amp;"tbl"&amp;jpx400chart[[#This Row],[コード]]&amp;"_[#見出し]"</f>
        <v>'[jpx400_data.xlsm]2317'!tbl2317_[#見出し]</v>
      </c>
      <c r="E33" t="str" cm="1">
        <f t="array" ref="E33">_xll.RssChartPast(INDIRECT(jpx400chart[[#This Row],[ヘッダー行]]), jpx400chart[[#This Row],[コード]], "D",20160401,3000)</f>
        <v>=RssChartPast(INDIRECT([@ヘッダー行]), [@コード], "D",20160401,3000) =&gt; 完了</v>
      </c>
    </row>
    <row r="34" spans="1:5" x14ac:dyDescent="0.45">
      <c r="A34">
        <f>_400_j_pdf[[#This Row],[コード]]</f>
        <v>2327</v>
      </c>
      <c r="B34" t="str" cm="1">
        <f t="array" ref="B34">_xll.RssMarket(jpx400chart[[#This Row],[コード]],jpx400chart[[#Headers],[銘柄名称]])</f>
        <v>日鉄ソリューションズ</v>
      </c>
      <c r="C34" cm="1">
        <f t="array" ref="C34">_xll.RssMarket(jpx400chart[[#This Row],[コード]],jpx400chart[[#Headers],[現在値]])</f>
        <v>4483</v>
      </c>
      <c r="D34" t="str">
        <f>"'[jpx400_data.xlsm]"&amp;jpx400chart[[#This Row],[コード]]&amp;"'!"&amp;"tbl"&amp;jpx400chart[[#This Row],[コード]]&amp;"_[#見出し]"</f>
        <v>'[jpx400_data.xlsm]2327'!tbl2327_[#見出し]</v>
      </c>
      <c r="E34" t="str" cm="1">
        <f t="array" ref="E34">_xll.RssChartPast(INDIRECT(jpx400chart[[#This Row],[ヘッダー行]]), jpx400chart[[#This Row],[コード]], "D",20160401,3000)</f>
        <v>=RssChartPast(INDIRECT([@ヘッダー行]), [@コード], "D",20160401,3000) =&gt; 完了</v>
      </c>
    </row>
    <row r="35" spans="1:5" x14ac:dyDescent="0.45">
      <c r="A35">
        <f>_400_j_pdf[[#This Row],[コード]]</f>
        <v>2371</v>
      </c>
      <c r="B35" t="str" cm="1">
        <f t="array" ref="B35">_xll.RssMarket(jpx400chart[[#This Row],[コード]],jpx400chart[[#Headers],[銘柄名称]])</f>
        <v>カカクコム</v>
      </c>
      <c r="C35" cm="1">
        <f t="array" ref="C35">_xll.RssMarket(jpx400chart[[#This Row],[コード]],jpx400chart[[#Headers],[現在値]])</f>
        <v>2190</v>
      </c>
      <c r="D35" t="str">
        <f>"'[jpx400_data.xlsm]"&amp;jpx400chart[[#This Row],[コード]]&amp;"'!"&amp;"tbl"&amp;jpx400chart[[#This Row],[コード]]&amp;"_[#見出し]"</f>
        <v>'[jpx400_data.xlsm]2371'!tbl2371_[#見出し]</v>
      </c>
      <c r="E35" t="str" cm="1">
        <f t="array" ref="E35">_xll.RssChartPast(INDIRECT(jpx400chart[[#This Row],[ヘッダー行]]), jpx400chart[[#This Row],[コード]], "D",20160401,3000)</f>
        <v>=RssChartPast(INDIRECT([@ヘッダー行]), [@コード], "D",20160401,3000) =&gt; 完了</v>
      </c>
    </row>
    <row r="36" spans="1:5" x14ac:dyDescent="0.45">
      <c r="A36">
        <f>_400_j_pdf[[#This Row],[コード]]</f>
        <v>2379</v>
      </c>
      <c r="B36" t="str" cm="1">
        <f t="array" ref="B36">_xll.RssMarket(jpx400chart[[#This Row],[コード]],jpx400chart[[#Headers],[銘柄名称]])</f>
        <v>ディップ</v>
      </c>
      <c r="C36" cm="1">
        <f t="array" ref="C36">_xll.RssMarket(jpx400chart[[#This Row],[コード]],jpx400chart[[#Headers],[現在値]])</f>
        <v>2081</v>
      </c>
      <c r="D36" t="str">
        <f>"'[jpx400_data.xlsm]"&amp;jpx400chart[[#This Row],[コード]]&amp;"'!"&amp;"tbl"&amp;jpx400chart[[#This Row],[コード]]&amp;"_[#見出し]"</f>
        <v>'[jpx400_data.xlsm]2379'!tbl2379_[#見出し]</v>
      </c>
      <c r="E36" t="str" cm="1">
        <f t="array" ref="E36">_xll.RssChartPast(INDIRECT(jpx400chart[[#This Row],[ヘッダー行]]), jpx400chart[[#This Row],[コード]], "D",20160401,3000)</f>
        <v>=RssChartPast(INDIRECT([@ヘッダー行]), [@コード], "D",20160401,3000) =&gt; 完了</v>
      </c>
    </row>
    <row r="37" spans="1:5" x14ac:dyDescent="0.45">
      <c r="A37">
        <f>_400_j_pdf[[#This Row],[コード]]</f>
        <v>2384</v>
      </c>
      <c r="B37" t="str" cm="1">
        <f t="array" ref="B37">_xll.RssMarket(jpx400chart[[#This Row],[コード]],jpx400chart[[#Headers],[銘柄名称]])</f>
        <v>ＳＢＳホールディングス</v>
      </c>
      <c r="C37" cm="1">
        <f t="array" ref="C37">_xll.RssMarket(jpx400chart[[#This Row],[コード]],jpx400chart[[#Headers],[現在値]])</f>
        <v>3870</v>
      </c>
      <c r="D37" t="str">
        <f>"'[jpx400_data.xlsm]"&amp;jpx400chart[[#This Row],[コード]]&amp;"'!"&amp;"tbl"&amp;jpx400chart[[#This Row],[コード]]&amp;"_[#見出し]"</f>
        <v>'[jpx400_data.xlsm]2384'!tbl2384_[#見出し]</v>
      </c>
      <c r="E37" t="str" cm="1">
        <f t="array" ref="E37">_xll.RssChartPast(INDIRECT(jpx400chart[[#This Row],[ヘッダー行]]), jpx400chart[[#This Row],[コード]], "D",20160401,3000)</f>
        <v>=RssChartPast(INDIRECT([@ヘッダー行]), [@コード], "D",20160401,3000) =&gt; 完了</v>
      </c>
    </row>
    <row r="38" spans="1:5" x14ac:dyDescent="0.45">
      <c r="A38">
        <f>_400_j_pdf[[#This Row],[コード]]</f>
        <v>2413</v>
      </c>
      <c r="B38" t="str" cm="1">
        <f t="array" ref="B38">_xll.RssMarket(jpx400chart[[#This Row],[コード]],jpx400chart[[#Headers],[銘柄名称]])</f>
        <v>エムスリー</v>
      </c>
      <c r="C38" cm="1">
        <f t="array" ref="C38">_xll.RssMarket(jpx400chart[[#This Row],[コード]],jpx400chart[[#Headers],[現在値]])</f>
        <v>1955</v>
      </c>
      <c r="D38" t="str">
        <f>"'[jpx400_data.xlsm]"&amp;jpx400chart[[#This Row],[コード]]&amp;"'!"&amp;"tbl"&amp;jpx400chart[[#This Row],[コード]]&amp;"_[#見出し]"</f>
        <v>'[jpx400_data.xlsm]2413'!tbl2413_[#見出し]</v>
      </c>
      <c r="E38" t="str" cm="1">
        <f t="array" ref="E38">_xll.RssChartPast(INDIRECT(jpx400chart[[#This Row],[ヘッダー行]]), jpx400chart[[#This Row],[コード]], "D",20160401,3000)</f>
        <v>=RssChartPast(INDIRECT([@ヘッダー行]), [@コード], "D",20160401,3000) =&gt; 完了</v>
      </c>
    </row>
    <row r="39" spans="1:5" x14ac:dyDescent="0.45">
      <c r="A39">
        <f>_400_j_pdf[[#This Row],[コード]]</f>
        <v>2502</v>
      </c>
      <c r="B39" t="str" cm="1">
        <f t="array" ref="B39">_xll.RssMarket(jpx400chart[[#This Row],[コード]],jpx400chart[[#Headers],[銘柄名称]])</f>
        <v>アサヒグループホールディン</v>
      </c>
      <c r="C39" cm="1">
        <f t="array" ref="C39">_xll.RssMarket(jpx400chart[[#This Row],[コード]],jpx400chart[[#Headers],[現在値]])</f>
        <v>1630</v>
      </c>
      <c r="D39" t="str">
        <f>"'[jpx400_data.xlsm]"&amp;jpx400chart[[#This Row],[コード]]&amp;"'!"&amp;"tbl"&amp;jpx400chart[[#This Row],[コード]]&amp;"_[#見出し]"</f>
        <v>'[jpx400_data.xlsm]2502'!tbl2502_[#見出し]</v>
      </c>
      <c r="E39" t="str" cm="1">
        <f t="array" ref="E39">_xll.RssChartPast(INDIRECT(jpx400chart[[#This Row],[ヘッダー行]]), jpx400chart[[#This Row],[コード]], "D",20160401,3000)</f>
        <v>=RssChartPast(INDIRECT([@ヘッダー行]), [@コード], "D",20160401,3000) =&gt; 完了</v>
      </c>
    </row>
    <row r="40" spans="1:5" x14ac:dyDescent="0.45">
      <c r="A40">
        <f>_400_j_pdf[[#This Row],[コード]]</f>
        <v>2503</v>
      </c>
      <c r="B40" t="str" cm="1">
        <f t="array" ref="B40">_xll.RssMarket(jpx400chart[[#This Row],[コード]],jpx400chart[[#Headers],[銘柄名称]])</f>
        <v>キリンＨＤ</v>
      </c>
      <c r="C40" cm="1">
        <f t="array" ref="C40">_xll.RssMarket(jpx400chart[[#This Row],[コード]],jpx400chart[[#Headers],[現在値]])</f>
        <v>2466.5</v>
      </c>
      <c r="D40" t="str">
        <f>"'[jpx400_data.xlsm]"&amp;jpx400chart[[#This Row],[コード]]&amp;"'!"&amp;"tbl"&amp;jpx400chart[[#This Row],[コード]]&amp;"_[#見出し]"</f>
        <v>'[jpx400_data.xlsm]2503'!tbl2503_[#見出し]</v>
      </c>
      <c r="E40" t="str" cm="1">
        <f t="array" ref="E40">_xll.RssChartPast(INDIRECT(jpx400chart[[#This Row],[ヘッダー行]]), jpx400chart[[#This Row],[コード]], "D",20160401,3000)</f>
        <v>=RssChartPast(INDIRECT([@ヘッダー行]), [@コード], "D",20160401,3000) =&gt; 完了</v>
      </c>
    </row>
    <row r="41" spans="1:5" x14ac:dyDescent="0.45">
      <c r="A41">
        <f>_400_j_pdf[[#This Row],[コード]]</f>
        <v>2531</v>
      </c>
      <c r="B41" t="str" cm="1">
        <f t="array" ref="B41">_xll.RssMarket(jpx400chart[[#This Row],[コード]],jpx400chart[[#Headers],[銘柄名称]])</f>
        <v>宝ホールディングス</v>
      </c>
      <c r="C41" cm="1">
        <f t="array" ref="C41">_xll.RssMarket(jpx400chart[[#This Row],[コード]],jpx400chart[[#Headers],[現在値]])</f>
        <v>1605.5</v>
      </c>
      <c r="D41" t="str">
        <f>"'[jpx400_data.xlsm]"&amp;jpx400chart[[#This Row],[コード]]&amp;"'!"&amp;"tbl"&amp;jpx400chart[[#This Row],[コード]]&amp;"_[#見出し]"</f>
        <v>'[jpx400_data.xlsm]2531'!tbl2531_[#見出し]</v>
      </c>
      <c r="E41" t="str" cm="1">
        <f t="array" ref="E41">_xll.RssChartPast(INDIRECT(jpx400chart[[#This Row],[ヘッダー行]]), jpx400chart[[#This Row],[コード]], "D",20160401,3000)</f>
        <v>=RssChartPast(INDIRECT([@ヘッダー行]), [@コード], "D",20160401,3000) =&gt; 完了</v>
      </c>
    </row>
    <row r="42" spans="1:5" x14ac:dyDescent="0.45">
      <c r="A42">
        <f>_400_j_pdf[[#This Row],[コード]]</f>
        <v>2587</v>
      </c>
      <c r="B42" t="str" cm="1">
        <f t="array" ref="B42">_xll.RssMarket(jpx400chart[[#This Row],[コード]],jpx400chart[[#Headers],[銘柄名称]])</f>
        <v>サントリー食品インター</v>
      </c>
      <c r="C42" cm="1">
        <f t="array" ref="C42">_xll.RssMarket(jpx400chart[[#This Row],[コード]],jpx400chart[[#Headers],[現在値]])</f>
        <v>4937</v>
      </c>
      <c r="D42" t="str">
        <f>"'[jpx400_data.xlsm]"&amp;jpx400chart[[#This Row],[コード]]&amp;"'!"&amp;"tbl"&amp;jpx400chart[[#This Row],[コード]]&amp;"_[#見出し]"</f>
        <v>'[jpx400_data.xlsm]2587'!tbl2587_[#見出し]</v>
      </c>
      <c r="E42" t="str" cm="1">
        <f t="array" ref="E42">_xll.RssChartPast(INDIRECT(jpx400chart[[#This Row],[ヘッダー行]]), jpx400chart[[#This Row],[コード]], "D",20160401,3000)</f>
        <v>=RssChartPast(INDIRECT([@ヘッダー行]), [@コード], "D",20160401,3000) =&gt; 完了</v>
      </c>
    </row>
    <row r="43" spans="1:5" x14ac:dyDescent="0.45">
      <c r="A43">
        <f>_400_j_pdf[[#This Row],[コード]]</f>
        <v>2670</v>
      </c>
      <c r="B43" t="str" cm="1">
        <f t="array" ref="B43">_xll.RssMarket(jpx400chart[[#This Row],[コード]],jpx400chart[[#Headers],[銘柄名称]])</f>
        <v>エービーシー・マート</v>
      </c>
      <c r="C43" cm="1">
        <f t="array" ref="C43">_xll.RssMarket(jpx400chart[[#This Row],[コード]],jpx400chart[[#Headers],[現在値]])</f>
        <v>2448</v>
      </c>
      <c r="D43" t="str">
        <f>"'[jpx400_data.xlsm]"&amp;jpx400chart[[#This Row],[コード]]&amp;"'!"&amp;"tbl"&amp;jpx400chart[[#This Row],[コード]]&amp;"_[#見出し]"</f>
        <v>'[jpx400_data.xlsm]2670'!tbl2670_[#見出し]</v>
      </c>
      <c r="E43" t="str" cm="1">
        <f t="array" ref="E43">_xll.RssChartPast(INDIRECT(jpx400chart[[#This Row],[ヘッダー行]]), jpx400chart[[#This Row],[コード]], "D",20160401,3000)</f>
        <v>=RssChartPast(INDIRECT([@ヘッダー行]), [@コード], "D",20160401,3000) =&gt; 完了</v>
      </c>
    </row>
    <row r="44" spans="1:5" x14ac:dyDescent="0.45">
      <c r="A44">
        <f>_400_j_pdf[[#This Row],[コード]]</f>
        <v>2678</v>
      </c>
      <c r="B44" t="str" cm="1">
        <f t="array" ref="B44">_xll.RssMarket(jpx400chart[[#This Row],[コード]],jpx400chart[[#Headers],[銘柄名称]])</f>
        <v>アスクル</v>
      </c>
      <c r="C44" cm="1">
        <f t="array" ref="C44">_xll.RssMarket(jpx400chart[[#This Row],[コード]],jpx400chart[[#Headers],[現在値]])</f>
        <v>1378</v>
      </c>
      <c r="D44" t="str">
        <f>"'[jpx400_data.xlsm]"&amp;jpx400chart[[#This Row],[コード]]&amp;"'!"&amp;"tbl"&amp;jpx400chart[[#This Row],[コード]]&amp;"_[#見出し]"</f>
        <v>'[jpx400_data.xlsm]2678'!tbl2678_[#見出し]</v>
      </c>
      <c r="E44" t="str" cm="1">
        <f t="array" ref="E44">_xll.RssChartPast(INDIRECT(jpx400chart[[#This Row],[ヘッダー行]]), jpx400chart[[#This Row],[コード]], "D",20160401,3000)</f>
        <v>=RssChartPast(INDIRECT([@ヘッダー行]), [@コード], "D",20160401,3000) =&gt; 完了</v>
      </c>
    </row>
    <row r="45" spans="1:5" x14ac:dyDescent="0.45">
      <c r="A45">
        <f>_400_j_pdf[[#This Row],[コード]]</f>
        <v>2685</v>
      </c>
      <c r="B45" t="str" cm="1">
        <f t="array" ref="B45">_xll.RssMarket(jpx400chart[[#This Row],[コード]],jpx400chart[[#Headers],[銘柄名称]])</f>
        <v>アンドエスティＨＤ</v>
      </c>
      <c r="C45" cm="1">
        <f t="array" ref="C45">_xll.RssMarket(jpx400chart[[#This Row],[コード]],jpx400chart[[#Headers],[現在値]])</f>
        <v>2773</v>
      </c>
      <c r="D45" t="str">
        <f>"'[jpx400_data.xlsm]"&amp;jpx400chart[[#This Row],[コード]]&amp;"'!"&amp;"tbl"&amp;jpx400chart[[#This Row],[コード]]&amp;"_[#見出し]"</f>
        <v>'[jpx400_data.xlsm]2685'!tbl2685_[#見出し]</v>
      </c>
      <c r="E45" t="str" cm="1">
        <f t="array" ref="E45">_xll.RssChartPast(INDIRECT(jpx400chart[[#This Row],[ヘッダー行]]), jpx400chart[[#This Row],[コード]], "D",20160401,3000)</f>
        <v>=RssChartPast(INDIRECT([@ヘッダー行]), [@コード], "D",20160401,3000) =&gt; 完了</v>
      </c>
    </row>
    <row r="46" spans="1:5" x14ac:dyDescent="0.45">
      <c r="A46">
        <f>_400_j_pdf[[#This Row],[コード]]</f>
        <v>2702</v>
      </c>
      <c r="B46" t="str" cm="1">
        <f t="array" ref="B46">_xll.RssMarket(jpx400chart[[#This Row],[コード]],jpx400chart[[#Headers],[銘柄名称]])</f>
        <v>日本マクドナルドＨＬＤＧ</v>
      </c>
      <c r="C46" cm="1">
        <f t="array" ref="C46">_xll.RssMarket(jpx400chart[[#This Row],[コード]],jpx400chart[[#Headers],[現在値]])</f>
        <v>6750</v>
      </c>
      <c r="D46" t="str">
        <f>"'[jpx400_data.xlsm]"&amp;jpx400chart[[#This Row],[コード]]&amp;"'!"&amp;"tbl"&amp;jpx400chart[[#This Row],[コード]]&amp;"_[#見出し]"</f>
        <v>'[jpx400_data.xlsm]2702'!tbl2702_[#見出し]</v>
      </c>
      <c r="E46" t="str" cm="1">
        <f t="array" ref="E46">_xll.RssChartPast(INDIRECT(jpx400chart[[#This Row],[ヘッダー行]]), jpx400chart[[#This Row],[コード]], "D",20160401,3000)</f>
        <v>=RssChartPast(INDIRECT([@ヘッダー行]), [@コード], "D",20160401,3000) =&gt; 完了</v>
      </c>
    </row>
    <row r="47" spans="1:5" x14ac:dyDescent="0.45">
      <c r="A47">
        <f>_400_j_pdf[[#This Row],[コード]]</f>
        <v>2726</v>
      </c>
      <c r="B47" t="str" cm="1">
        <f t="array" ref="B47">_xll.RssMarket(jpx400chart[[#This Row],[コード]],jpx400chart[[#Headers],[銘柄名称]])</f>
        <v>パルグループＨＬＤＧＳ</v>
      </c>
      <c r="C47" cm="1">
        <f t="array" ref="C47">_xll.RssMarket(jpx400chart[[#This Row],[コード]],jpx400chart[[#Headers],[現在値]])</f>
        <v>1733</v>
      </c>
      <c r="D47" t="str">
        <f>"'[jpx400_data.xlsm]"&amp;jpx400chart[[#This Row],[コード]]&amp;"'!"&amp;"tbl"&amp;jpx400chart[[#This Row],[コード]]&amp;"_[#見出し]"</f>
        <v>'[jpx400_data.xlsm]2726'!tbl2726_[#見出し]</v>
      </c>
      <c r="E47" t="str" cm="1">
        <f t="array" ref="E47">_xll.RssChartPast(INDIRECT(jpx400chart[[#This Row],[ヘッダー行]]), jpx400chart[[#This Row],[コード]], "D",20160401,3000)</f>
        <v>=RssChartPast(INDIRECT([@ヘッダー行]), [@コード], "D",20160401,3000) =&gt; 完了</v>
      </c>
    </row>
    <row r="48" spans="1:5" x14ac:dyDescent="0.45">
      <c r="A48">
        <f>_400_j_pdf[[#This Row],[コード]]</f>
        <v>2760</v>
      </c>
      <c r="B48" t="str" cm="1">
        <f t="array" ref="B48">_xll.RssMarket(jpx400chart[[#This Row],[コード]],jpx400chart[[#Headers],[銘柄名称]])</f>
        <v>東京エレクトロンデバイス</v>
      </c>
      <c r="C48" cm="1">
        <f t="array" ref="C48">_xll.RssMarket(jpx400chart[[#This Row],[コード]],jpx400chart[[#Headers],[現在値]])</f>
        <v>3605</v>
      </c>
      <c r="D48" t="str">
        <f>"'[jpx400_data.xlsm]"&amp;jpx400chart[[#This Row],[コード]]&amp;"'!"&amp;"tbl"&amp;jpx400chart[[#This Row],[コード]]&amp;"_[#見出し]"</f>
        <v>'[jpx400_data.xlsm]2760'!tbl2760_[#見出し]</v>
      </c>
      <c r="E48" t="str" cm="1">
        <f t="array" ref="E48">_xll.RssChartPast(INDIRECT(jpx400chart[[#This Row],[ヘッダー行]]), jpx400chart[[#This Row],[コード]], "D",20160401,3000)</f>
        <v>=RssChartPast(INDIRECT([@ヘッダー行]), [@コード], "D",20160401,3000) =&gt; 完了</v>
      </c>
    </row>
    <row r="49" spans="1:5" x14ac:dyDescent="0.45">
      <c r="A49">
        <f>_400_j_pdf[[#This Row],[コード]]</f>
        <v>2767</v>
      </c>
      <c r="B49" t="str" cm="1">
        <f t="array" ref="B49">_xll.RssMarket(jpx400chart[[#This Row],[コード]],jpx400chart[[#Headers],[銘柄名称]])</f>
        <v>円谷フィールズホールディ</v>
      </c>
      <c r="C49" cm="1">
        <f t="array" ref="C49">_xll.RssMarket(jpx400chart[[#This Row],[コード]],jpx400chart[[#Headers],[現在値]])</f>
        <v>1865</v>
      </c>
      <c r="D49" t="str">
        <f>"'[jpx400_data.xlsm]"&amp;jpx400chart[[#This Row],[コード]]&amp;"'!"&amp;"tbl"&amp;jpx400chart[[#This Row],[コード]]&amp;"_[#見出し]"</f>
        <v>'[jpx400_data.xlsm]2767'!tbl2767_[#見出し]</v>
      </c>
      <c r="E49" t="str" cm="1">
        <f t="array" ref="E49">_xll.RssChartPast(INDIRECT(jpx400chart[[#This Row],[ヘッダー行]]), jpx400chart[[#This Row],[コード]], "D",20160401,3000)</f>
        <v>=RssChartPast(INDIRECT([@ヘッダー行]), [@コード], "D",20160401,3000) =&gt; 完了</v>
      </c>
    </row>
    <row r="50" spans="1:5" x14ac:dyDescent="0.45">
      <c r="A50">
        <f>_400_j_pdf[[#This Row],[コード]]</f>
        <v>2768</v>
      </c>
      <c r="B50" t="str" cm="1">
        <f t="array" ref="B50">_xll.RssMarket(jpx400chart[[#This Row],[コード]],jpx400chart[[#Headers],[銘柄名称]])</f>
        <v>双日</v>
      </c>
      <c r="C50" cm="1">
        <f t="array" ref="C50">_xll.RssMarket(jpx400chart[[#This Row],[コード]],jpx400chart[[#Headers],[現在値]])</f>
        <v>5707</v>
      </c>
      <c r="D50" t="str">
        <f>"'[jpx400_data.xlsm]"&amp;jpx400chart[[#This Row],[コード]]&amp;"'!"&amp;"tbl"&amp;jpx400chart[[#This Row],[コード]]&amp;"_[#見出し]"</f>
        <v>'[jpx400_data.xlsm]2768'!tbl2768_[#見出し]</v>
      </c>
      <c r="E50" t="str" cm="1">
        <f t="array" ref="E50">_xll.RssChartPast(INDIRECT(jpx400chart[[#This Row],[ヘッダー行]]), jpx400chart[[#This Row],[コード]], "D",20160401,3000)</f>
        <v>=RssChartPast(INDIRECT([@ヘッダー行]), [@コード], "D",20160401,3000) =&gt; 完了</v>
      </c>
    </row>
    <row r="51" spans="1:5" x14ac:dyDescent="0.45">
      <c r="A51">
        <f>_400_j_pdf[[#This Row],[コード]]</f>
        <v>2801</v>
      </c>
      <c r="B51" t="str" cm="1">
        <f t="array" ref="B51">_xll.RssMarket(jpx400chart[[#This Row],[コード]],jpx400chart[[#Headers],[銘柄名称]])</f>
        <v>キッコーマン</v>
      </c>
      <c r="C51" cm="1">
        <f t="array" ref="C51">_xll.RssMarket(jpx400chart[[#This Row],[コード]],jpx400chart[[#Headers],[現在値]])</f>
        <v>1438</v>
      </c>
      <c r="D51" t="str">
        <f>"'[jpx400_data.xlsm]"&amp;jpx400chart[[#This Row],[コード]]&amp;"'!"&amp;"tbl"&amp;jpx400chart[[#This Row],[コード]]&amp;"_[#見出し]"</f>
        <v>'[jpx400_data.xlsm]2801'!tbl2801_[#見出し]</v>
      </c>
      <c r="E51" t="str" cm="1">
        <f t="array" ref="E51">_xll.RssChartPast(INDIRECT(jpx400chart[[#This Row],[ヘッダー行]]), jpx400chart[[#This Row],[コード]], "D",20160401,3000)</f>
        <v>=RssChartPast(INDIRECT([@ヘッダー行]), [@コード], "D",20160401,3000) =&gt; 完了</v>
      </c>
    </row>
    <row r="52" spans="1:5" x14ac:dyDescent="0.45">
      <c r="A52">
        <f>_400_j_pdf[[#This Row],[コード]]</f>
        <v>2802</v>
      </c>
      <c r="B52" t="str" cm="1">
        <f t="array" ref="B52">_xll.RssMarket(jpx400chart[[#This Row],[コード]],jpx400chart[[#Headers],[銘柄名称]])</f>
        <v>味の素</v>
      </c>
      <c r="C52" cm="1">
        <f t="array" ref="C52">_xll.RssMarket(jpx400chart[[#This Row],[コード]],jpx400chart[[#Headers],[現在値]])</f>
        <v>3467</v>
      </c>
      <c r="D52" t="str">
        <f>"'[jpx400_data.xlsm]"&amp;jpx400chart[[#This Row],[コード]]&amp;"'!"&amp;"tbl"&amp;jpx400chart[[#This Row],[コード]]&amp;"_[#見出し]"</f>
        <v>'[jpx400_data.xlsm]2802'!tbl2802_[#見出し]</v>
      </c>
      <c r="E52" t="str" cm="1">
        <f t="array" ref="E52">_xll.RssChartPast(INDIRECT(jpx400chart[[#This Row],[ヘッダー行]]), jpx400chart[[#This Row],[コード]], "D",20160401,3000)</f>
        <v>=RssChartPast(INDIRECT([@ヘッダー行]), [@コード], "D",20160401,3000) =&gt; 完了</v>
      </c>
    </row>
    <row r="53" spans="1:5" x14ac:dyDescent="0.45">
      <c r="A53">
        <f>_400_j_pdf[[#This Row],[コード]]</f>
        <v>2811</v>
      </c>
      <c r="B53" t="str" cm="1">
        <f t="array" ref="B53">_xll.RssMarket(jpx400chart[[#This Row],[コード]],jpx400chart[[#Headers],[銘柄名称]])</f>
        <v>カゴメ</v>
      </c>
      <c r="C53" cm="1">
        <f t="array" ref="C53">_xll.RssMarket(jpx400chart[[#This Row],[コード]],jpx400chart[[#Headers],[現在値]])</f>
        <v>2761</v>
      </c>
      <c r="D53" t="str">
        <f>"'[jpx400_data.xlsm]"&amp;jpx400chart[[#This Row],[コード]]&amp;"'!"&amp;"tbl"&amp;jpx400chart[[#This Row],[コード]]&amp;"_[#見出し]"</f>
        <v>'[jpx400_data.xlsm]2811'!tbl2811_[#見出し]</v>
      </c>
      <c r="E53" t="str" cm="1">
        <f t="array" ref="E53">_xll.RssChartPast(INDIRECT(jpx400chart[[#This Row],[ヘッダー行]]), jpx400chart[[#This Row],[コード]], "D",20160401,3000)</f>
        <v>=RssChartPast(INDIRECT([@ヘッダー行]), [@コード], "D",20160401,3000) =&gt; 完了</v>
      </c>
    </row>
    <row r="54" spans="1:5" x14ac:dyDescent="0.45">
      <c r="A54">
        <f>_400_j_pdf[[#This Row],[コード]]</f>
        <v>2871</v>
      </c>
      <c r="B54" t="str" cm="1">
        <f t="array" ref="B54">_xll.RssMarket(jpx400chart[[#This Row],[コード]],jpx400chart[[#Headers],[銘柄名称]])</f>
        <v>ニチレイ</v>
      </c>
      <c r="C54" cm="1">
        <f t="array" ref="C54">_xll.RssMarket(jpx400chart[[#This Row],[コード]],jpx400chart[[#Headers],[現在値]])</f>
        <v>1909.5</v>
      </c>
      <c r="D54" t="str">
        <f>"'[jpx400_data.xlsm]"&amp;jpx400chart[[#This Row],[コード]]&amp;"'!"&amp;"tbl"&amp;jpx400chart[[#This Row],[コード]]&amp;"_[#見出し]"</f>
        <v>'[jpx400_data.xlsm]2871'!tbl2871_[#見出し]</v>
      </c>
      <c r="E54" t="str" cm="1">
        <f t="array" ref="E54">_xll.RssChartPast(INDIRECT(jpx400chart[[#This Row],[ヘッダー行]]), jpx400chart[[#This Row],[コード]], "D",20160401,3000)</f>
        <v>=RssChartPast(INDIRECT([@ヘッダー行]), [@コード], "D",20160401,3000) =&gt; 完了</v>
      </c>
    </row>
    <row r="55" spans="1:5" x14ac:dyDescent="0.45">
      <c r="A55">
        <f>_400_j_pdf[[#This Row],[コード]]</f>
        <v>2875</v>
      </c>
      <c r="B55" t="str" cm="1">
        <f t="array" ref="B55">_xll.RssMarket(jpx400chart[[#This Row],[コード]],jpx400chart[[#Headers],[銘柄名称]])</f>
        <v>東洋水産</v>
      </c>
      <c r="C55" cm="1">
        <f t="array" ref="C55">_xll.RssMarket(jpx400chart[[#This Row],[コード]],jpx400chart[[#Headers],[現在値]])</f>
        <v>11140</v>
      </c>
      <c r="D55" t="str">
        <f>"'[jpx400_data.xlsm]"&amp;jpx400chart[[#This Row],[コード]]&amp;"'!"&amp;"tbl"&amp;jpx400chart[[#This Row],[コード]]&amp;"_[#見出し]"</f>
        <v>'[jpx400_data.xlsm]2875'!tbl2875_[#見出し]</v>
      </c>
      <c r="E55" t="str" cm="1">
        <f t="array" ref="E55">_xll.RssChartPast(INDIRECT(jpx400chart[[#This Row],[ヘッダー行]]), jpx400chart[[#This Row],[コード]], "D",20160401,3000)</f>
        <v>=RssChartPast(INDIRECT([@ヘッダー行]), [@コード], "D",20160401,3000) =&gt; 完了</v>
      </c>
    </row>
    <row r="56" spans="1:5" x14ac:dyDescent="0.45">
      <c r="A56">
        <f>_400_j_pdf[[#This Row],[コード]]</f>
        <v>2897</v>
      </c>
      <c r="B56" t="str" cm="1">
        <f t="array" ref="B56">_xll.RssMarket(jpx400chart[[#This Row],[コード]],jpx400chart[[#Headers],[銘柄名称]])</f>
        <v>日清食品ＨＤ</v>
      </c>
      <c r="C56" cm="1">
        <f t="array" ref="C56">_xll.RssMarket(jpx400chart[[#This Row],[コード]],jpx400chart[[#Headers],[現在値]])</f>
        <v>3098</v>
      </c>
      <c r="D56" t="str">
        <f>"'[jpx400_data.xlsm]"&amp;jpx400chart[[#This Row],[コード]]&amp;"'!"&amp;"tbl"&amp;jpx400chart[[#This Row],[コード]]&amp;"_[#見出し]"</f>
        <v>'[jpx400_data.xlsm]2897'!tbl2897_[#見出し]</v>
      </c>
      <c r="E56" t="str" cm="1">
        <f t="array" ref="E56">_xll.RssChartPast(INDIRECT(jpx400chart[[#This Row],[ヘッダー行]]), jpx400chart[[#This Row],[コード]], "D",20160401,3000)</f>
        <v>=RssChartPast(INDIRECT([@ヘッダー行]), [@コード], "D",20160401,3000) =&gt; 完了</v>
      </c>
    </row>
    <row r="57" spans="1:5" x14ac:dyDescent="0.45">
      <c r="A57">
        <f>_400_j_pdf[[#This Row],[コード]]</f>
        <v>2914</v>
      </c>
      <c r="B57" t="str" cm="1">
        <f t="array" ref="B57">_xll.RssMarket(jpx400chart[[#This Row],[コード]],jpx400chart[[#Headers],[銘柄名称]])</f>
        <v>日本たばこ産業</v>
      </c>
      <c r="C57" cm="1">
        <f t="array" ref="C57">_xll.RssMarket(jpx400chart[[#This Row],[コード]],jpx400chart[[#Headers],[現在値]])</f>
        <v>5574</v>
      </c>
      <c r="D57" t="str">
        <f>"'[jpx400_data.xlsm]"&amp;jpx400chart[[#This Row],[コード]]&amp;"'!"&amp;"tbl"&amp;jpx400chart[[#This Row],[コード]]&amp;"_[#見出し]"</f>
        <v>'[jpx400_data.xlsm]2914'!tbl2914_[#見出し]</v>
      </c>
      <c r="E57" t="str" cm="1">
        <f t="array" ref="E57">_xll.RssChartPast(INDIRECT(jpx400chart[[#This Row],[ヘッダー行]]), jpx400chart[[#This Row],[コード]], "D",20160401,3000)</f>
        <v>=RssChartPast(INDIRECT([@ヘッダー行]), [@コード], "D",20160401,3000) =&gt; 完了</v>
      </c>
    </row>
    <row r="58" spans="1:5" x14ac:dyDescent="0.45">
      <c r="A58">
        <f>_400_j_pdf[[#This Row],[コード]]</f>
        <v>3003</v>
      </c>
      <c r="B58" t="str" cm="1">
        <f t="array" ref="B58">_xll.RssMarket(jpx400chart[[#This Row],[コード]],jpx400chart[[#Headers],[銘柄名称]])</f>
        <v>ヒューリック</v>
      </c>
      <c r="C58" cm="1">
        <f t="array" ref="C58">_xll.RssMarket(jpx400chart[[#This Row],[コード]],jpx400chart[[#Headers],[現在値]])</f>
        <v>1762</v>
      </c>
      <c r="D58" t="str">
        <f>"'[jpx400_data.xlsm]"&amp;jpx400chart[[#This Row],[コード]]&amp;"'!"&amp;"tbl"&amp;jpx400chart[[#This Row],[コード]]&amp;"_[#見出し]"</f>
        <v>'[jpx400_data.xlsm]3003'!tbl3003_[#見出し]</v>
      </c>
      <c r="E58" t="str" cm="1">
        <f t="array" ref="E58">_xll.RssChartPast(INDIRECT(jpx400chart[[#This Row],[ヘッダー行]]), jpx400chart[[#This Row],[コード]], "D",20160401,3000)</f>
        <v>=RssChartPast(INDIRECT([@ヘッダー行]), [@コード], "D",20160401,3000) =&gt; 完了</v>
      </c>
    </row>
    <row r="59" spans="1:5" x14ac:dyDescent="0.45">
      <c r="A59">
        <f>_400_j_pdf[[#This Row],[コード]]</f>
        <v>3038</v>
      </c>
      <c r="B59" t="str" cm="1">
        <f t="array" ref="B59">_xll.RssMarket(jpx400chart[[#This Row],[コード]],jpx400chart[[#Headers],[銘柄名称]])</f>
        <v>神戸物産</v>
      </c>
      <c r="C59" cm="1">
        <f t="array" ref="C59">_xll.RssMarket(jpx400chart[[#This Row],[コード]],jpx400chart[[#Headers],[現在値]])</f>
        <v>3787</v>
      </c>
      <c r="D59" t="str">
        <f>"'[jpx400_data.xlsm]"&amp;jpx400chart[[#This Row],[コード]]&amp;"'!"&amp;"tbl"&amp;jpx400chart[[#This Row],[コード]]&amp;"_[#見出し]"</f>
        <v>'[jpx400_data.xlsm]3038'!tbl3038_[#見出し]</v>
      </c>
      <c r="E59" t="str" cm="1">
        <f t="array" ref="E59">_xll.RssChartPast(INDIRECT(jpx400chart[[#This Row],[ヘッダー行]]), jpx400chart[[#This Row],[コード]], "D",20160401,3000)</f>
        <v>=RssChartPast(INDIRECT([@ヘッダー行]), [@コード], "D",20160401,3000) =&gt; 完了</v>
      </c>
    </row>
    <row r="60" spans="1:5" x14ac:dyDescent="0.45">
      <c r="A60">
        <f>_400_j_pdf[[#This Row],[コード]]</f>
        <v>3064</v>
      </c>
      <c r="B60" t="str" cm="1">
        <f t="array" ref="B60">_xll.RssMarket(jpx400chart[[#This Row],[コード]],jpx400chart[[#Headers],[銘柄名称]])</f>
        <v>ＭｏｎｏｔａＲＯ</v>
      </c>
      <c r="C60" cm="1">
        <f t="array" ref="C60">_xll.RssMarket(jpx400chart[[#This Row],[コード]],jpx400chart[[#Headers],[現在値]])</f>
        <v>2262.5</v>
      </c>
      <c r="D60" t="str">
        <f>"'[jpx400_data.xlsm]"&amp;jpx400chart[[#This Row],[コード]]&amp;"'!"&amp;"tbl"&amp;jpx400chart[[#This Row],[コード]]&amp;"_[#見出し]"</f>
        <v>'[jpx400_data.xlsm]3064'!tbl3064_[#見出し]</v>
      </c>
      <c r="E60" t="str" cm="1">
        <f t="array" ref="E60">_xll.RssChartPast(INDIRECT(jpx400chart[[#This Row],[ヘッダー行]]), jpx400chart[[#This Row],[コード]], "D",20160401,3000)</f>
        <v>=RssChartPast(INDIRECT([@ヘッダー行]), [@コード], "D",20160401,3000) =&gt; 完了</v>
      </c>
    </row>
    <row r="61" spans="1:5" x14ac:dyDescent="0.45">
      <c r="A61">
        <f>_400_j_pdf[[#This Row],[コード]]</f>
        <v>3086</v>
      </c>
      <c r="B61" t="str" cm="1">
        <f t="array" ref="B61">_xll.RssMarket(jpx400chart[[#This Row],[コード]],jpx400chart[[#Headers],[銘柄名称]])</f>
        <v>Ｊ．フロントリテイリング</v>
      </c>
      <c r="C61" cm="1">
        <f t="array" ref="C61">_xll.RssMarket(jpx400chart[[#This Row],[コード]],jpx400chart[[#Headers],[現在値]])</f>
        <v>2291.5</v>
      </c>
      <c r="D61" t="str">
        <f>"'[jpx400_data.xlsm]"&amp;jpx400chart[[#This Row],[コード]]&amp;"'!"&amp;"tbl"&amp;jpx400chart[[#This Row],[コード]]&amp;"_[#見出し]"</f>
        <v>'[jpx400_data.xlsm]3086'!tbl3086_[#見出し]</v>
      </c>
      <c r="E61" t="str" cm="1">
        <f t="array" ref="E61">_xll.RssChartPast(INDIRECT(jpx400chart[[#This Row],[ヘッダー行]]), jpx400chart[[#This Row],[コード]], "D",20160401,3000)</f>
        <v>=RssChartPast(INDIRECT([@ヘッダー行]), [@コード], "D",20160401,3000) =&gt; 完了</v>
      </c>
    </row>
    <row r="62" spans="1:5" x14ac:dyDescent="0.45">
      <c r="A62">
        <f>_400_j_pdf[[#This Row],[コード]]</f>
        <v>3088</v>
      </c>
      <c r="B62" t="str" cm="1">
        <f t="array" ref="B62">_xll.RssMarket(jpx400chart[[#This Row],[コード]],jpx400chart[[#Headers],[銘柄名称]])</f>
        <v>マツキヨココカラ＆カンパニー</v>
      </c>
      <c r="C62" cm="1">
        <f t="array" ref="C62">_xll.RssMarket(jpx400chart[[#This Row],[コード]],jpx400chart[[#Headers],[現在値]])</f>
        <v>2519</v>
      </c>
      <c r="D62" t="str">
        <f>"'[jpx400_data.xlsm]"&amp;jpx400chart[[#This Row],[コード]]&amp;"'!"&amp;"tbl"&amp;jpx400chart[[#This Row],[コード]]&amp;"_[#見出し]"</f>
        <v>'[jpx400_data.xlsm]3088'!tbl3088_[#見出し]</v>
      </c>
      <c r="E62" t="str" cm="1">
        <f t="array" ref="E62">_xll.RssChartPast(INDIRECT(jpx400chart[[#This Row],[ヘッダー行]]), jpx400chart[[#This Row],[コード]], "D",20160401,3000)</f>
        <v>=RssChartPast(INDIRECT([@ヘッダー行]), [@コード], "D",20160401,3000) =&gt; 完了</v>
      </c>
    </row>
    <row r="63" spans="1:5" x14ac:dyDescent="0.45">
      <c r="A63">
        <f>_400_j_pdf[[#This Row],[コード]]</f>
        <v>3092</v>
      </c>
      <c r="B63" t="str" cm="1">
        <f t="array" ref="B63">_xll.RssMarket(jpx400chart[[#This Row],[コード]],jpx400chart[[#Headers],[銘柄名称]])</f>
        <v>ＺＯＺＯ</v>
      </c>
      <c r="C63" cm="1">
        <f t="array" ref="C63">_xll.RssMarket(jpx400chart[[#This Row],[コード]],jpx400chart[[#Headers],[現在値]])</f>
        <v>1223</v>
      </c>
      <c r="D63" t="str">
        <f>"'[jpx400_data.xlsm]"&amp;jpx400chart[[#This Row],[コード]]&amp;"'!"&amp;"tbl"&amp;jpx400chart[[#This Row],[コード]]&amp;"_[#見出し]"</f>
        <v>'[jpx400_data.xlsm]3092'!tbl3092_[#見出し]</v>
      </c>
      <c r="E63" t="str" cm="1">
        <f t="array" ref="E63">_xll.RssChartPast(INDIRECT(jpx400chart[[#This Row],[ヘッダー行]]), jpx400chart[[#This Row],[コード]], "D",20160401,3000)</f>
        <v>=RssChartPast(INDIRECT([@ヘッダー行]), [@コード], "D",20160401,3000) =&gt; 完了</v>
      </c>
    </row>
    <row r="64" spans="1:5" x14ac:dyDescent="0.45">
      <c r="A64">
        <f>_400_j_pdf[[#This Row],[コード]]</f>
        <v>3107</v>
      </c>
      <c r="B64" t="str" cm="1">
        <f t="array" ref="B64">_xll.RssMarket(jpx400chart[[#This Row],[コード]],jpx400chart[[#Headers],[銘柄名称]])</f>
        <v>ダイワボウＨＤ</v>
      </c>
      <c r="C64" cm="1">
        <f t="array" ref="C64">_xll.RssMarket(jpx400chart[[#This Row],[コード]],jpx400chart[[#Headers],[現在値]])</f>
        <v>3057</v>
      </c>
      <c r="D64" t="str">
        <f>"'[jpx400_data.xlsm]"&amp;jpx400chart[[#This Row],[コード]]&amp;"'!"&amp;"tbl"&amp;jpx400chart[[#This Row],[コード]]&amp;"_[#見出し]"</f>
        <v>'[jpx400_data.xlsm]3107'!tbl3107_[#見出し]</v>
      </c>
      <c r="E64" t="str" cm="1">
        <f t="array" ref="E64">_xll.RssChartPast(INDIRECT(jpx400chart[[#This Row],[ヘッダー行]]), jpx400chart[[#This Row],[コード]], "D",20160401,3000)</f>
        <v>=RssChartPast(INDIRECT([@ヘッダー行]), [@コード], "D",20160401,3000) =&gt; 完了</v>
      </c>
    </row>
    <row r="65" spans="1:5" x14ac:dyDescent="0.45">
      <c r="A65">
        <f>_400_j_pdf[[#This Row],[コード]]</f>
        <v>3116</v>
      </c>
      <c r="B65" t="str" cm="1">
        <f t="array" ref="B65">_xll.RssMarket(jpx400chart[[#This Row],[コード]],jpx400chart[[#Headers],[銘柄名称]])</f>
        <v>トヨタ紡織</v>
      </c>
      <c r="C65" cm="1">
        <f t="array" ref="C65">_xll.RssMarket(jpx400chart[[#This Row],[コード]],jpx400chart[[#Headers],[現在値]])</f>
        <v>2625</v>
      </c>
      <c r="D65" t="str">
        <f>"'[jpx400_data.xlsm]"&amp;jpx400chart[[#This Row],[コード]]&amp;"'!"&amp;"tbl"&amp;jpx400chart[[#This Row],[コード]]&amp;"_[#見出し]"</f>
        <v>'[jpx400_data.xlsm]3116'!tbl3116_[#見出し]</v>
      </c>
      <c r="E65" t="str" cm="1">
        <f t="array" ref="E65">_xll.RssChartPast(INDIRECT(jpx400chart[[#This Row],[ヘッダー行]]), jpx400chart[[#This Row],[コード]], "D",20160401,3000)</f>
        <v>=RssChartPast(INDIRECT([@ヘッダー行]), [@コード], "D",20160401,3000) =&gt; 完了</v>
      </c>
    </row>
    <row r="66" spans="1:5" x14ac:dyDescent="0.45">
      <c r="A66">
        <f>_400_j_pdf[[#This Row],[コード]]</f>
        <v>3132</v>
      </c>
      <c r="B66" t="str" cm="1">
        <f t="array" ref="B66">_xll.RssMarket(jpx400chart[[#This Row],[コード]],jpx400chart[[#Headers],[銘柄名称]])</f>
        <v>マクニカホールディングス</v>
      </c>
      <c r="C66" cm="1">
        <f t="array" ref="C66">_xll.RssMarket(jpx400chart[[#This Row],[コード]],jpx400chart[[#Headers],[現在値]])</f>
        <v>2638</v>
      </c>
      <c r="D66" t="str">
        <f>"'[jpx400_data.xlsm]"&amp;jpx400chart[[#This Row],[コード]]&amp;"'!"&amp;"tbl"&amp;jpx400chart[[#This Row],[コード]]&amp;"_[#見出し]"</f>
        <v>'[jpx400_data.xlsm]3132'!tbl3132_[#見出し]</v>
      </c>
      <c r="E66" t="str" cm="1">
        <f t="array" ref="E66">_xll.RssChartPast(INDIRECT(jpx400chart[[#This Row],[ヘッダー行]]), jpx400chart[[#This Row],[コード]], "D",20160401,3000)</f>
        <v>=RssChartPast(INDIRECT([@ヘッダー行]), [@コード], "D",20160401,3000) =&gt; 完了</v>
      </c>
    </row>
    <row r="67" spans="1:5" x14ac:dyDescent="0.45">
      <c r="A67">
        <f>_400_j_pdf[[#This Row],[コード]]</f>
        <v>3148</v>
      </c>
      <c r="B67" t="str" cm="1">
        <f t="array" ref="B67">_xll.RssMarket(jpx400chart[[#This Row],[コード]],jpx400chart[[#Headers],[銘柄名称]])</f>
        <v>クリエイトＳＤＨ</v>
      </c>
      <c r="C67" cm="1">
        <f t="array" ref="C67">_xll.RssMarket(jpx400chart[[#This Row],[コード]],jpx400chart[[#Headers],[現在値]])</f>
        <v>3315</v>
      </c>
      <c r="D67" t="str">
        <f>"'[jpx400_data.xlsm]"&amp;jpx400chart[[#This Row],[コード]]&amp;"'!"&amp;"tbl"&amp;jpx400chart[[#This Row],[コード]]&amp;"_[#見出し]"</f>
        <v>'[jpx400_data.xlsm]3148'!tbl3148_[#見出し]</v>
      </c>
      <c r="E67" t="str" cm="1">
        <f t="array" ref="E67">_xll.RssChartPast(INDIRECT(jpx400chart[[#This Row],[ヘッダー行]]), jpx400chart[[#This Row],[コード]], "D",20160401,3000)</f>
        <v>=RssChartPast(INDIRECT([@ヘッダー行]), [@コード], "D",20160401,3000) =&gt; 完了</v>
      </c>
    </row>
    <row r="68" spans="1:5" x14ac:dyDescent="0.45">
      <c r="A68">
        <f>_400_j_pdf[[#This Row],[コード]]</f>
        <v>3186</v>
      </c>
      <c r="B68" t="str" cm="1">
        <f t="array" ref="B68">_xll.RssMarket(jpx400chart[[#This Row],[コード]],jpx400chart[[#Headers],[銘柄名称]])</f>
        <v>ネクステージ</v>
      </c>
      <c r="C68" cm="1">
        <f t="array" ref="C68">_xll.RssMarket(jpx400chart[[#This Row],[コード]],jpx400chart[[#Headers],[現在値]])</f>
        <v>3365</v>
      </c>
      <c r="D68" t="str">
        <f>"'[jpx400_data.xlsm]"&amp;jpx400chart[[#This Row],[コード]]&amp;"'!"&amp;"tbl"&amp;jpx400chart[[#This Row],[コード]]&amp;"_[#見出し]"</f>
        <v>'[jpx400_data.xlsm]3186'!tbl3186_[#見出し]</v>
      </c>
      <c r="E68" t="str" cm="1">
        <f t="array" ref="E68">_xll.RssChartPast(INDIRECT(jpx400chart[[#This Row],[ヘッダー行]]), jpx400chart[[#This Row],[コード]], "D",20160401,3000)</f>
        <v>=RssChartPast(INDIRECT([@ヘッダー行]), [@コード], "D",20160401,3000) =&gt; 完了</v>
      </c>
    </row>
    <row r="69" spans="1:5" x14ac:dyDescent="0.45">
      <c r="A69">
        <f>_400_j_pdf[[#This Row],[コード]]</f>
        <v>3231</v>
      </c>
      <c r="B69" t="str" cm="1">
        <f t="array" ref="B69">_xll.RssMarket(jpx400chart[[#This Row],[コード]],jpx400chart[[#Headers],[銘柄名称]])</f>
        <v>野村不動産ＨＬＤＧＳ</v>
      </c>
      <c r="C69" cm="1">
        <f t="array" ref="C69">_xll.RssMarket(jpx400chart[[#This Row],[コード]],jpx400chart[[#Headers],[現在値]])</f>
        <v>1027.5</v>
      </c>
      <c r="D69" t="str">
        <f>"'[jpx400_data.xlsm]"&amp;jpx400chart[[#This Row],[コード]]&amp;"'!"&amp;"tbl"&amp;jpx400chart[[#This Row],[コード]]&amp;"_[#見出し]"</f>
        <v>'[jpx400_data.xlsm]3231'!tbl3231_[#見出し]</v>
      </c>
      <c r="E69" t="str" cm="1">
        <f t="array" ref="E69">_xll.RssChartPast(INDIRECT(jpx400chart[[#This Row],[ヘッダー行]]), jpx400chart[[#This Row],[コード]], "D",20160401,3000)</f>
        <v>=RssChartPast(INDIRECT([@ヘッダー行]), [@コード], "D",20160401,3000) =&gt; 完了</v>
      </c>
    </row>
    <row r="70" spans="1:5" x14ac:dyDescent="0.45">
      <c r="A70">
        <f>_400_j_pdf[[#This Row],[コード]]</f>
        <v>3288</v>
      </c>
      <c r="B70" t="str" cm="1">
        <f t="array" ref="B70">_xll.RssMarket(jpx400chart[[#This Row],[コード]],jpx400chart[[#Headers],[銘柄名称]])</f>
        <v>オープンハウスグループ</v>
      </c>
      <c r="C70" cm="1">
        <f t="array" ref="C70">_xll.RssMarket(jpx400chart[[#This Row],[コード]],jpx400chart[[#Headers],[現在値]])</f>
        <v>9139</v>
      </c>
      <c r="D70" t="str">
        <f>"'[jpx400_data.xlsm]"&amp;jpx400chart[[#This Row],[コード]]&amp;"'!"&amp;"tbl"&amp;jpx400chart[[#This Row],[コード]]&amp;"_[#見出し]"</f>
        <v>'[jpx400_data.xlsm]3288'!tbl3288_[#見出し]</v>
      </c>
      <c r="E70" t="str" cm="1">
        <f t="array" ref="E70">_xll.RssChartPast(INDIRECT(jpx400chart[[#This Row],[ヘッダー行]]), jpx400chart[[#This Row],[コード]], "D",20160401,3000)</f>
        <v>=RssChartPast(INDIRECT([@ヘッダー行]), [@コード], "D",20160401,3000) =&gt; 完了</v>
      </c>
    </row>
    <row r="71" spans="1:5" x14ac:dyDescent="0.45">
      <c r="A71">
        <f>_400_j_pdf[[#This Row],[コード]]</f>
        <v>3289</v>
      </c>
      <c r="B71" t="str" cm="1">
        <f t="array" ref="B71">_xll.RssMarket(jpx400chart[[#This Row],[コード]],jpx400chart[[#Headers],[銘柄名称]])</f>
        <v>東急不動産ＨＤ</v>
      </c>
      <c r="C71" cm="1">
        <f t="array" ref="C71">_xll.RssMarket(jpx400chart[[#This Row],[コード]],jpx400chart[[#Headers],[現在値]])</f>
        <v>1436</v>
      </c>
      <c r="D71" t="str">
        <f>"'[jpx400_data.xlsm]"&amp;jpx400chart[[#This Row],[コード]]&amp;"'!"&amp;"tbl"&amp;jpx400chart[[#This Row],[コード]]&amp;"_[#見出し]"</f>
        <v>'[jpx400_data.xlsm]3289'!tbl3289_[#見出し]</v>
      </c>
      <c r="E71" t="str" cm="1">
        <f t="array" ref="E71">_xll.RssChartPast(INDIRECT(jpx400chart[[#This Row],[ヘッダー行]]), jpx400chart[[#This Row],[コード]], "D",20160401,3000)</f>
        <v>=RssChartPast(INDIRECT([@ヘッダー行]), [@コード], "D",20160401,3000) =&gt; 完了</v>
      </c>
    </row>
    <row r="72" spans="1:5" x14ac:dyDescent="0.45">
      <c r="A72">
        <f>_400_j_pdf[[#This Row],[コード]]</f>
        <v>3291</v>
      </c>
      <c r="B72" t="str" cm="1">
        <f t="array" ref="B72">_xll.RssMarket(jpx400chart[[#This Row],[コード]],jpx400chart[[#Headers],[銘柄名称]])</f>
        <v>飯田ＧＨＤ</v>
      </c>
      <c r="C72" cm="1">
        <f t="array" ref="C72">_xll.RssMarket(jpx400chart[[#This Row],[コード]],jpx400chart[[#Headers],[現在値]])</f>
        <v>2536</v>
      </c>
      <c r="D72" t="str">
        <f>"'[jpx400_data.xlsm]"&amp;jpx400chart[[#This Row],[コード]]&amp;"'!"&amp;"tbl"&amp;jpx400chart[[#This Row],[コード]]&amp;"_[#見出し]"</f>
        <v>'[jpx400_data.xlsm]3291'!tbl3291_[#見出し]</v>
      </c>
      <c r="E72" t="str" cm="1">
        <f t="array" ref="E72">_xll.RssChartPast(INDIRECT(jpx400chart[[#This Row],[ヘッダー行]]), jpx400chart[[#This Row],[コード]], "D",20160401,3000)</f>
        <v>=RssChartPast(INDIRECT([@ヘッダー行]), [@コード], "D",20160401,3000) =&gt; 完了</v>
      </c>
    </row>
    <row r="73" spans="1:5" x14ac:dyDescent="0.45">
      <c r="A73">
        <f>_400_j_pdf[[#This Row],[コード]]</f>
        <v>3349</v>
      </c>
      <c r="B73" t="str" cm="1">
        <f t="array" ref="B73">_xll.RssMarket(jpx400chart[[#This Row],[コード]],jpx400chart[[#Headers],[銘柄名称]])</f>
        <v>コスモス薬品</v>
      </c>
      <c r="C73" cm="1">
        <f t="array" ref="C73">_xll.RssMarket(jpx400chart[[#This Row],[コード]],jpx400chart[[#Headers],[現在値]])</f>
        <v>6848</v>
      </c>
      <c r="D73" t="str">
        <f>"'[jpx400_data.xlsm]"&amp;jpx400chart[[#This Row],[コード]]&amp;"'!"&amp;"tbl"&amp;jpx400chart[[#This Row],[コード]]&amp;"_[#見出し]"</f>
        <v>'[jpx400_data.xlsm]3349'!tbl3349_[#見出し]</v>
      </c>
      <c r="E73" t="str" cm="1">
        <f t="array" ref="E73">_xll.RssChartPast(INDIRECT(jpx400chart[[#This Row],[ヘッダー行]]), jpx400chart[[#This Row],[コード]], "D",20160401,3000)</f>
        <v>=RssChartPast(INDIRECT([@ヘッダー行]), [@コード], "D",20160401,3000) =&gt; 完了</v>
      </c>
    </row>
    <row r="74" spans="1:5" x14ac:dyDescent="0.45">
      <c r="A74">
        <f>_400_j_pdf[[#This Row],[コード]]</f>
        <v>3360</v>
      </c>
      <c r="B74" t="str" cm="1">
        <f t="array" ref="B74">_xll.RssMarket(jpx400chart[[#This Row],[コード]],jpx400chart[[#Headers],[銘柄名称]])</f>
        <v>シップヘルスケアＨＤ</v>
      </c>
      <c r="C74" cm="1">
        <f t="array" ref="C74">_xll.RssMarket(jpx400chart[[#This Row],[コード]],jpx400chart[[#Headers],[現在値]])</f>
        <v>2699.5</v>
      </c>
      <c r="D74" t="str">
        <f>"'[jpx400_data.xlsm]"&amp;jpx400chart[[#This Row],[コード]]&amp;"'!"&amp;"tbl"&amp;jpx400chart[[#This Row],[コード]]&amp;"_[#見出し]"</f>
        <v>'[jpx400_data.xlsm]3360'!tbl3360_[#見出し]</v>
      </c>
      <c r="E74" t="str" cm="1">
        <f t="array" ref="E74">_xll.RssChartPast(INDIRECT(jpx400chart[[#This Row],[ヘッダー行]]), jpx400chart[[#This Row],[コード]], "D",20160401,3000)</f>
        <v>=RssChartPast(INDIRECT([@ヘッダー行]), [@コード], "D",20160401,3000) =&gt; 完了</v>
      </c>
    </row>
    <row r="75" spans="1:5" x14ac:dyDescent="0.45">
      <c r="A75">
        <f>_400_j_pdf[[#This Row],[コード]]</f>
        <v>3382</v>
      </c>
      <c r="B75" t="str" cm="1">
        <f t="array" ref="B75">_xll.RssMarket(jpx400chart[[#This Row],[コード]],jpx400chart[[#Headers],[銘柄名称]])</f>
        <v>セブン＆アイ・ＨＬＤＧＳ</v>
      </c>
      <c r="C75" cm="1">
        <f t="array" ref="C75">_xll.RssMarket(jpx400chart[[#This Row],[コード]],jpx400chart[[#Headers],[現在値]])</f>
        <v>2174</v>
      </c>
      <c r="D75" t="str">
        <f>"'[jpx400_data.xlsm]"&amp;jpx400chart[[#This Row],[コード]]&amp;"'!"&amp;"tbl"&amp;jpx400chart[[#This Row],[コード]]&amp;"_[#見出し]"</f>
        <v>'[jpx400_data.xlsm]3382'!tbl3382_[#見出し]</v>
      </c>
      <c r="E75" t="str" cm="1">
        <f t="array" ref="E75">_xll.RssChartPast(INDIRECT(jpx400chart[[#This Row],[ヘッダー行]]), jpx400chart[[#This Row],[コード]], "D",20160401,3000)</f>
        <v>=RssChartPast(INDIRECT([@ヘッダー行]), [@コード], "D",20160401,3000) =&gt; 完了</v>
      </c>
    </row>
    <row r="76" spans="1:5" x14ac:dyDescent="0.45">
      <c r="A76">
        <f>_400_j_pdf[[#This Row],[コード]]</f>
        <v>3391</v>
      </c>
      <c r="B76" t="str" cm="1">
        <f t="array" ref="B76">_xll.RssMarket(jpx400chart[[#This Row],[コード]],jpx400chart[[#Headers],[銘柄名称]])</f>
        <v>ツルハホールディングス</v>
      </c>
      <c r="C76" cm="1">
        <f t="array" ref="C76">_xll.RssMarket(jpx400chart[[#This Row],[コード]],jpx400chart[[#Headers],[現在値]])</f>
        <v>2502</v>
      </c>
      <c r="D76" t="str">
        <f>"'[jpx400_data.xlsm]"&amp;jpx400chart[[#This Row],[コード]]&amp;"'!"&amp;"tbl"&amp;jpx400chart[[#This Row],[コード]]&amp;"_[#見出し]"</f>
        <v>'[jpx400_data.xlsm]3391'!tbl3391_[#見出し]</v>
      </c>
      <c r="E76" t="str" cm="1">
        <f t="array" ref="E76">_xll.RssChartPast(INDIRECT(jpx400chart[[#This Row],[ヘッダー行]]), jpx400chart[[#This Row],[コード]], "D",20160401,3000)</f>
        <v>=RssChartPast(INDIRECT([@ヘッダー行]), [@コード], "D",20160401,3000) =&gt; 完了</v>
      </c>
    </row>
    <row r="77" spans="1:5" x14ac:dyDescent="0.45">
      <c r="A77">
        <f>_400_j_pdf[[#This Row],[コード]]</f>
        <v>3402</v>
      </c>
      <c r="B77" t="str" cm="1">
        <f t="array" ref="B77">_xll.RssMarket(jpx400chart[[#This Row],[コード]],jpx400chart[[#Headers],[銘柄名称]])</f>
        <v>東レ</v>
      </c>
      <c r="C77" cm="1">
        <f t="array" ref="C77">_xll.RssMarket(jpx400chart[[#This Row],[コード]],jpx400chart[[#Headers],[現在値]])</f>
        <v>1131</v>
      </c>
      <c r="D77" t="str">
        <f>"'[jpx400_data.xlsm]"&amp;jpx400chart[[#This Row],[コード]]&amp;"'!"&amp;"tbl"&amp;jpx400chart[[#This Row],[コード]]&amp;"_[#見出し]"</f>
        <v>'[jpx400_data.xlsm]3402'!tbl3402_[#見出し]</v>
      </c>
      <c r="E77" t="str" cm="1">
        <f t="array" ref="E77">_xll.RssChartPast(INDIRECT(jpx400chart[[#This Row],[ヘッダー行]]), jpx400chart[[#This Row],[コード]], "D",20160401,3000)</f>
        <v>=RssChartPast(INDIRECT([@ヘッダー行]), [@コード], "D",20160401,3000) =&gt; 完了</v>
      </c>
    </row>
    <row r="78" spans="1:5" x14ac:dyDescent="0.45">
      <c r="A78">
        <f>_400_j_pdf[[#This Row],[コード]]</f>
        <v>3405</v>
      </c>
      <c r="B78" t="str" cm="1">
        <f t="array" ref="B78">_xll.RssMarket(jpx400chart[[#This Row],[コード]],jpx400chart[[#Headers],[銘柄名称]])</f>
        <v>クラレ</v>
      </c>
      <c r="C78" cm="1">
        <f t="array" ref="C78">_xll.RssMarket(jpx400chart[[#This Row],[コード]],jpx400chart[[#Headers],[現在値]])</f>
        <v>1657</v>
      </c>
      <c r="D78" t="str">
        <f>"'[jpx400_data.xlsm]"&amp;jpx400chart[[#This Row],[コード]]&amp;"'!"&amp;"tbl"&amp;jpx400chart[[#This Row],[コード]]&amp;"_[#見出し]"</f>
        <v>'[jpx400_data.xlsm]3405'!tbl3405_[#見出し]</v>
      </c>
      <c r="E78" t="str" cm="1">
        <f t="array" ref="E78">_xll.RssChartPast(INDIRECT(jpx400chart[[#This Row],[ヘッダー行]]), jpx400chart[[#This Row],[コード]], "D",20160401,3000)</f>
        <v>=RssChartPast(INDIRECT([@ヘッダー行]), [@コード], "D",20160401,3000) =&gt; 完了</v>
      </c>
    </row>
    <row r="79" spans="1:5" x14ac:dyDescent="0.45">
      <c r="A79">
        <f>_400_j_pdf[[#This Row],[コード]]</f>
        <v>3436</v>
      </c>
      <c r="B79" t="str" cm="1">
        <f t="array" ref="B79">_xll.RssMarket(jpx400chart[[#This Row],[コード]],jpx400chart[[#Headers],[銘柄名称]])</f>
        <v>ＳＵＭＣＯ</v>
      </c>
      <c r="C79" cm="1">
        <f t="array" ref="C79">_xll.RssMarket(jpx400chart[[#This Row],[コード]],jpx400chart[[#Headers],[現在値]])</f>
        <v>1565.5</v>
      </c>
      <c r="D79" t="str">
        <f>"'[jpx400_data.xlsm]"&amp;jpx400chart[[#This Row],[コード]]&amp;"'!"&amp;"tbl"&amp;jpx400chart[[#This Row],[コード]]&amp;"_[#見出し]"</f>
        <v>'[jpx400_data.xlsm]3436'!tbl3436_[#見出し]</v>
      </c>
      <c r="E79" t="str" cm="1">
        <f t="array" ref="E79">_xll.RssChartPast(INDIRECT(jpx400chart[[#This Row],[ヘッダー行]]), jpx400chart[[#This Row],[コード]], "D",20160401,3000)</f>
        <v>=RssChartPast(INDIRECT([@ヘッダー行]), [@コード], "D",20160401,3000) =&gt; 完了</v>
      </c>
    </row>
    <row r="80" spans="1:5" x14ac:dyDescent="0.45">
      <c r="A80">
        <f>_400_j_pdf[[#This Row],[コード]]</f>
        <v>3465</v>
      </c>
      <c r="B80" t="str" cm="1">
        <f t="array" ref="B80">_xll.RssMarket(jpx400chart[[#This Row],[コード]],jpx400chart[[#Headers],[銘柄名称]])</f>
        <v>ケイアイスター不動産</v>
      </c>
      <c r="C80" cm="1">
        <f t="array" ref="C80">_xll.RssMarket(jpx400chart[[#This Row],[コード]],jpx400chart[[#Headers],[現在値]])</f>
        <v>6260</v>
      </c>
      <c r="D80" t="str">
        <f>"'[jpx400_data.xlsm]"&amp;jpx400chart[[#This Row],[コード]]&amp;"'!"&amp;"tbl"&amp;jpx400chart[[#This Row],[コード]]&amp;"_[#見出し]"</f>
        <v>'[jpx400_data.xlsm]3465'!tbl3465_[#見出し]</v>
      </c>
      <c r="E80" t="str" cm="1">
        <f t="array" ref="E80">_xll.RssChartPast(INDIRECT(jpx400chart[[#This Row],[ヘッダー行]]), jpx400chart[[#This Row],[コード]], "D",20160401,3000)</f>
        <v>=RssChartPast(INDIRECT([@ヘッダー行]), [@コード], "D",20160401,3000) =&gt; 完了</v>
      </c>
    </row>
    <row r="81" spans="1:5" x14ac:dyDescent="0.45">
      <c r="A81">
        <f>_400_j_pdf[[#This Row],[コード]]</f>
        <v>3549</v>
      </c>
      <c r="B81" t="str" cm="1">
        <f t="array" ref="B81">_xll.RssMarket(jpx400chart[[#This Row],[コード]],jpx400chart[[#Headers],[銘柄名称]])</f>
        <v>クスリのアオキＨＬＤＧＳ</v>
      </c>
      <c r="C81" cm="1">
        <f t="array" ref="C81">_xll.RssMarket(jpx400chart[[#This Row],[コード]],jpx400chart[[#Headers],[現在値]])</f>
        <v>4263</v>
      </c>
      <c r="D81" t="str">
        <f>"'[jpx400_data.xlsm]"&amp;jpx400chart[[#This Row],[コード]]&amp;"'!"&amp;"tbl"&amp;jpx400chart[[#This Row],[コード]]&amp;"_[#見出し]"</f>
        <v>'[jpx400_data.xlsm]3549'!tbl3549_[#見出し]</v>
      </c>
      <c r="E81" t="str" cm="1">
        <f t="array" ref="E81">_xll.RssChartPast(INDIRECT(jpx400chart[[#This Row],[ヘッダー行]]), jpx400chart[[#This Row],[コード]], "D",20160401,3000)</f>
        <v>=RssChartPast(INDIRECT([@ヘッダー行]), [@コード], "D",20160401,3000) =&gt; 完了</v>
      </c>
    </row>
    <row r="82" spans="1:5" x14ac:dyDescent="0.45">
      <c r="A82">
        <f>_400_j_pdf[[#This Row],[コード]]</f>
        <v>3563</v>
      </c>
      <c r="B82" t="str" cm="1">
        <f t="array" ref="B82">_xll.RssMarket(jpx400chart[[#This Row],[コード]],jpx400chart[[#Headers],[銘柄名称]])</f>
        <v>ＦＯＯＤ＆ＬＩＦＥＣＯＭＰＡＮ</v>
      </c>
      <c r="C82" cm="1">
        <f t="array" ref="C82">_xll.RssMarket(jpx400chart[[#This Row],[コード]],jpx400chart[[#Headers],[現在値]])</f>
        <v>8868</v>
      </c>
      <c r="D82" t="str">
        <f>"'[jpx400_data.xlsm]"&amp;jpx400chart[[#This Row],[コード]]&amp;"'!"&amp;"tbl"&amp;jpx400chart[[#This Row],[コード]]&amp;"_[#見出し]"</f>
        <v>'[jpx400_data.xlsm]3563'!tbl3563_[#見出し]</v>
      </c>
      <c r="E82" t="str" cm="1">
        <f t="array" ref="E82">_xll.RssChartPast(INDIRECT(jpx400chart[[#This Row],[ヘッダー行]]), jpx400chart[[#This Row],[コード]], "D",20160401,3000)</f>
        <v>=RssChartPast(INDIRECT([@ヘッダー行]), [@コード], "D",20160401,3000) =&gt; 完了</v>
      </c>
    </row>
    <row r="83" spans="1:5" x14ac:dyDescent="0.45">
      <c r="A83">
        <f>_400_j_pdf[[#This Row],[コード]]</f>
        <v>3626</v>
      </c>
      <c r="B83" t="str" cm="1">
        <f t="array" ref="B83">_xll.RssMarket(jpx400chart[[#This Row],[コード]],jpx400chart[[#Headers],[銘柄名称]])</f>
        <v>ＴＩＳ</v>
      </c>
      <c r="C83" cm="1">
        <f t="array" ref="C83">_xll.RssMarket(jpx400chart[[#This Row],[コード]],jpx400chart[[#Headers],[現在値]])</f>
        <v>4700</v>
      </c>
      <c r="D83" t="str">
        <f>"'[jpx400_data.xlsm]"&amp;jpx400chart[[#This Row],[コード]]&amp;"'!"&amp;"tbl"&amp;jpx400chart[[#This Row],[コード]]&amp;"_[#見出し]"</f>
        <v>'[jpx400_data.xlsm]3626'!tbl3626_[#見出し]</v>
      </c>
      <c r="E83" t="str" cm="1">
        <f t="array" ref="E83">_xll.RssChartPast(INDIRECT(jpx400chart[[#This Row],[ヘッダー行]]), jpx400chart[[#This Row],[コード]], "D",20160401,3000)</f>
        <v>=RssChartPast(INDIRECT([@ヘッダー行]), [@コード], "D",20160401,3000) =&gt; 完了</v>
      </c>
    </row>
    <row r="84" spans="1:5" x14ac:dyDescent="0.45">
      <c r="A84">
        <f>_400_j_pdf[[#This Row],[コード]]</f>
        <v>3635</v>
      </c>
      <c r="B84" t="str" cm="1">
        <f t="array" ref="B84">_xll.RssMarket(jpx400chart[[#This Row],[コード]],jpx400chart[[#Headers],[銘柄名称]])</f>
        <v>コーエーテクモＨＤ</v>
      </c>
      <c r="C84" cm="1">
        <f t="array" ref="C84">_xll.RssMarket(jpx400chart[[#This Row],[コード]],jpx400chart[[#Headers],[現在値]])</f>
        <v>1737</v>
      </c>
      <c r="D84" t="str">
        <f>"'[jpx400_data.xlsm]"&amp;jpx400chart[[#This Row],[コード]]&amp;"'!"&amp;"tbl"&amp;jpx400chart[[#This Row],[コード]]&amp;"_[#見出し]"</f>
        <v>'[jpx400_data.xlsm]3635'!tbl3635_[#見出し]</v>
      </c>
      <c r="E84" t="str" cm="1">
        <f t="array" ref="E84">_xll.RssChartPast(INDIRECT(jpx400chart[[#This Row],[ヘッダー行]]), jpx400chart[[#This Row],[コード]], "D",20160401,3000)</f>
        <v>=RssChartPast(INDIRECT([@ヘッダー行]), [@コード], "D",20160401,3000) =&gt; 完了</v>
      </c>
    </row>
    <row r="85" spans="1:5" x14ac:dyDescent="0.45">
      <c r="A85">
        <f>_400_j_pdf[[#This Row],[コード]]</f>
        <v>3659</v>
      </c>
      <c r="B85" t="str" cm="1">
        <f t="array" ref="B85">_xll.RssMarket(jpx400chart[[#This Row],[コード]],jpx400chart[[#Headers],[銘柄名称]])</f>
        <v>ネクソン</v>
      </c>
      <c r="C85" cm="1">
        <f t="array" ref="C85">_xll.RssMarket(jpx400chart[[#This Row],[コード]],jpx400chart[[#Headers],[現在値]])</f>
        <v>4281</v>
      </c>
      <c r="D85" t="str">
        <f>"'[jpx400_data.xlsm]"&amp;jpx400chart[[#This Row],[コード]]&amp;"'!"&amp;"tbl"&amp;jpx400chart[[#This Row],[コード]]&amp;"_[#見出し]"</f>
        <v>'[jpx400_data.xlsm]3659'!tbl3659_[#見出し]</v>
      </c>
      <c r="E85" t="str" cm="1">
        <f t="array" ref="E85">_xll.RssChartPast(INDIRECT(jpx400chart[[#This Row],[ヘッダー行]]), jpx400chart[[#This Row],[コード]], "D",20160401,3000)</f>
        <v>=RssChartPast(INDIRECT([@ヘッダー行]), [@コード], "D",20160401,3000) =&gt; 完了</v>
      </c>
    </row>
    <row r="86" spans="1:5" x14ac:dyDescent="0.45">
      <c r="A86">
        <f>_400_j_pdf[[#This Row],[コード]]</f>
        <v>3697</v>
      </c>
      <c r="B86" t="str" cm="1">
        <f t="array" ref="B86">_xll.RssMarket(jpx400chart[[#This Row],[コード]],jpx400chart[[#Headers],[銘柄名称]])</f>
        <v>ＳＨＩＦＴ</v>
      </c>
      <c r="C86" cm="1">
        <f t="array" ref="C86">_xll.RssMarket(jpx400chart[[#This Row],[コード]],jpx400chart[[#Headers],[現在値]])</f>
        <v>850.4</v>
      </c>
      <c r="D86" t="str">
        <f>"'[jpx400_data.xlsm]"&amp;jpx400chart[[#This Row],[コード]]&amp;"'!"&amp;"tbl"&amp;jpx400chart[[#This Row],[コード]]&amp;"_[#見出し]"</f>
        <v>'[jpx400_data.xlsm]3697'!tbl3697_[#見出し]</v>
      </c>
      <c r="E86" t="str" cm="1">
        <f t="array" ref="E86">_xll.RssChartPast(INDIRECT(jpx400chart[[#This Row],[ヘッダー行]]), jpx400chart[[#This Row],[コード]], "D",20160401,3000)</f>
        <v>=RssChartPast(INDIRECT([@ヘッダー行]), [@コード], "D",20160401,3000) =&gt; 完了</v>
      </c>
    </row>
    <row r="87" spans="1:5" x14ac:dyDescent="0.45">
      <c r="A87">
        <f>_400_j_pdf[[#This Row],[コード]]</f>
        <v>3765</v>
      </c>
      <c r="B87" t="str" cm="1">
        <f t="array" ref="B87">_xll.RssMarket(jpx400chart[[#This Row],[コード]],jpx400chart[[#Headers],[銘柄名称]])</f>
        <v>ガンホー・オンライン・エンター</v>
      </c>
      <c r="C87" cm="1">
        <f t="array" ref="C87">_xll.RssMarket(jpx400chart[[#This Row],[コード]],jpx400chart[[#Headers],[現在値]])</f>
        <v>2621</v>
      </c>
      <c r="D87" t="str">
        <f>"'[jpx400_data.xlsm]"&amp;jpx400chart[[#This Row],[コード]]&amp;"'!"&amp;"tbl"&amp;jpx400chart[[#This Row],[コード]]&amp;"_[#見出し]"</f>
        <v>'[jpx400_data.xlsm]3765'!tbl3765_[#見出し]</v>
      </c>
      <c r="E87" t="str" cm="1">
        <f t="array" ref="E87">_xll.RssChartPast(INDIRECT(jpx400chart[[#This Row],[ヘッダー行]]), jpx400chart[[#This Row],[コード]], "D",20160401,3000)</f>
        <v>=RssChartPast(INDIRECT([@ヘッダー行]), [@コード], "D",20160401,3000) =&gt; 完了</v>
      </c>
    </row>
    <row r="88" spans="1:5" x14ac:dyDescent="0.45">
      <c r="A88">
        <f>_400_j_pdf[[#This Row],[コード]]</f>
        <v>3769</v>
      </c>
      <c r="B88" t="str" cm="1">
        <f t="array" ref="B88">_xll.RssMarket(jpx400chart[[#This Row],[コード]],jpx400chart[[#Headers],[銘柄名称]])</f>
        <v>ＧＭＯペイメントゲートウェイ</v>
      </c>
      <c r="C88" cm="1">
        <f t="array" ref="C88">_xll.RssMarket(jpx400chart[[#This Row],[コード]],jpx400chart[[#Headers],[現在値]])</f>
        <v>9015</v>
      </c>
      <c r="D88" t="str">
        <f>"'[jpx400_data.xlsm]"&amp;jpx400chart[[#This Row],[コード]]&amp;"'!"&amp;"tbl"&amp;jpx400chart[[#This Row],[コード]]&amp;"_[#見出し]"</f>
        <v>'[jpx400_data.xlsm]3769'!tbl3769_[#見出し]</v>
      </c>
      <c r="E88" t="str" cm="1">
        <f t="array" ref="E88">_xll.RssChartPast(INDIRECT(jpx400chart[[#This Row],[ヘッダー行]]), jpx400chart[[#This Row],[コード]], "D",20160401,3000)</f>
        <v>=RssChartPast(INDIRECT([@ヘッダー行]), [@コード], "D",20160401,3000) =&gt; 完了</v>
      </c>
    </row>
    <row r="89" spans="1:5" x14ac:dyDescent="0.45">
      <c r="A89">
        <f>_400_j_pdf[[#This Row],[コード]]</f>
        <v>3774</v>
      </c>
      <c r="B89" t="str" cm="1">
        <f t="array" ref="B89">_xll.RssMarket(jpx400chart[[#This Row],[コード]],jpx400chart[[#Headers],[銘柄名称]])</f>
        <v>インターネットイニシアティブ</v>
      </c>
      <c r="C89" cm="1">
        <f t="array" ref="C89">_xll.RssMarket(jpx400chart[[#This Row],[コード]],jpx400chart[[#Headers],[現在値]])</f>
        <v>2575.5</v>
      </c>
      <c r="D89" t="str">
        <f>"'[jpx400_data.xlsm]"&amp;jpx400chart[[#This Row],[コード]]&amp;"'!"&amp;"tbl"&amp;jpx400chart[[#This Row],[コード]]&amp;"_[#見出し]"</f>
        <v>'[jpx400_data.xlsm]3774'!tbl3774_[#見出し]</v>
      </c>
      <c r="E89" t="str" cm="1">
        <f t="array" ref="E89">_xll.RssChartPast(INDIRECT(jpx400chart[[#This Row],[ヘッダー行]]), jpx400chart[[#This Row],[コード]], "D",20160401,3000)</f>
        <v>=RssChartPast(INDIRECT([@ヘッダー行]), [@コード], "D",20160401,3000) =&gt; 完了</v>
      </c>
    </row>
    <row r="90" spans="1:5" x14ac:dyDescent="0.45">
      <c r="A90">
        <f>_400_j_pdf[[#This Row],[コード]]</f>
        <v>3861</v>
      </c>
      <c r="B90" t="str" cm="1">
        <f t="array" ref="B90">_xll.RssMarket(jpx400chart[[#This Row],[コード]],jpx400chart[[#Headers],[銘柄名称]])</f>
        <v>王子ホールディングス</v>
      </c>
      <c r="C90" cm="1">
        <f t="array" ref="C90">_xll.RssMarket(jpx400chart[[#This Row],[コード]],jpx400chart[[#Headers],[現在値]])</f>
        <v>912</v>
      </c>
      <c r="D90" t="str">
        <f>"'[jpx400_data.xlsm]"&amp;jpx400chart[[#This Row],[コード]]&amp;"'!"&amp;"tbl"&amp;jpx400chart[[#This Row],[コード]]&amp;"_[#見出し]"</f>
        <v>'[jpx400_data.xlsm]3861'!tbl3861_[#見出し]</v>
      </c>
      <c r="E90" t="str" cm="1">
        <f t="array" ref="E90">_xll.RssChartPast(INDIRECT(jpx400chart[[#This Row],[ヘッダー行]]), jpx400chart[[#This Row],[コード]], "D",20160401,3000)</f>
        <v>=RssChartPast(INDIRECT([@ヘッダー行]), [@コード], "D",20160401,3000) =&gt; 完了</v>
      </c>
    </row>
    <row r="91" spans="1:5" x14ac:dyDescent="0.45">
      <c r="A91">
        <f>_400_j_pdf[[#This Row],[コード]]</f>
        <v>3923</v>
      </c>
      <c r="B91" t="str" cm="1">
        <f t="array" ref="B91">_xll.RssMarket(jpx400chart[[#This Row],[コード]],jpx400chart[[#Headers],[銘柄名称]])</f>
        <v>ラクス</v>
      </c>
      <c r="C91" cm="1">
        <f t="array" ref="C91">_xll.RssMarket(jpx400chart[[#This Row],[コード]],jpx400chart[[#Headers],[現在値]])</f>
        <v>936.8</v>
      </c>
      <c r="D91" t="str">
        <f>"'[jpx400_data.xlsm]"&amp;jpx400chart[[#This Row],[コード]]&amp;"'!"&amp;"tbl"&amp;jpx400chart[[#This Row],[コード]]&amp;"_[#見出し]"</f>
        <v>'[jpx400_data.xlsm]3923'!tbl3923_[#見出し]</v>
      </c>
      <c r="E91" t="str" cm="1">
        <f t="array" ref="E91">_xll.RssChartPast(INDIRECT(jpx400chart[[#This Row],[ヘッダー行]]), jpx400chart[[#This Row],[コード]], "D",20160401,3000)</f>
        <v>=RssChartPast(INDIRECT([@ヘッダー行]), [@コード], "D",20160401,3000) =&gt; 完了</v>
      </c>
    </row>
    <row r="92" spans="1:5" x14ac:dyDescent="0.45">
      <c r="A92">
        <f>_400_j_pdf[[#This Row],[コード]]</f>
        <v>4004</v>
      </c>
      <c r="B92" t="str" cm="1">
        <f t="array" ref="B92">_xll.RssMarket(jpx400chart[[#This Row],[コード]],jpx400chart[[#Headers],[銘柄名称]])</f>
        <v>レゾナック・ホールディング</v>
      </c>
      <c r="C92" cm="1">
        <f t="array" ref="C92">_xll.RssMarket(jpx400chart[[#This Row],[コード]],jpx400chart[[#Headers],[現在値]])</f>
        <v>8576</v>
      </c>
      <c r="D92" t="str">
        <f>"'[jpx400_data.xlsm]"&amp;jpx400chart[[#This Row],[コード]]&amp;"'!"&amp;"tbl"&amp;jpx400chart[[#This Row],[コード]]&amp;"_[#見出し]"</f>
        <v>'[jpx400_data.xlsm]4004'!tbl4004_[#見出し]</v>
      </c>
      <c r="E92" t="str" cm="1">
        <f t="array" ref="E92">_xll.RssChartPast(INDIRECT(jpx400chart[[#This Row],[ヘッダー行]]), jpx400chart[[#This Row],[コード]], "D",20160401,3000)</f>
        <v>=RssChartPast(INDIRECT([@ヘッダー行]), [@コード], "D",20160401,3000) =&gt; 完了</v>
      </c>
    </row>
    <row r="93" spans="1:5" x14ac:dyDescent="0.45">
      <c r="A93">
        <f>_400_j_pdf[[#This Row],[コード]]</f>
        <v>4021</v>
      </c>
      <c r="B93" t="str" cm="1">
        <f t="array" ref="B93">_xll.RssMarket(jpx400chart[[#This Row],[コード]],jpx400chart[[#Headers],[銘柄名称]])</f>
        <v>日産化学</v>
      </c>
      <c r="C93" cm="1">
        <f t="array" ref="C93">_xll.RssMarket(jpx400chart[[#This Row],[コード]],jpx400chart[[#Headers],[現在値]])</f>
        <v>5334</v>
      </c>
      <c r="D93" t="str">
        <f>"'[jpx400_data.xlsm]"&amp;jpx400chart[[#This Row],[コード]]&amp;"'!"&amp;"tbl"&amp;jpx400chart[[#This Row],[コード]]&amp;"_[#見出し]"</f>
        <v>'[jpx400_data.xlsm]4021'!tbl4021_[#見出し]</v>
      </c>
      <c r="E93" t="str" cm="1">
        <f t="array" ref="E93">_xll.RssChartPast(INDIRECT(jpx400chart[[#This Row],[ヘッダー行]]), jpx400chart[[#This Row],[コード]], "D",20160401,3000)</f>
        <v>=RssChartPast(INDIRECT([@ヘッダー行]), [@コード], "D",20160401,3000) =&gt; 完了</v>
      </c>
    </row>
    <row r="94" spans="1:5" x14ac:dyDescent="0.45">
      <c r="A94">
        <f>_400_j_pdf[[#This Row],[コード]]</f>
        <v>4042</v>
      </c>
      <c r="B94" t="str" cm="1">
        <f t="array" ref="B94">_xll.RssMarket(jpx400chart[[#This Row],[コード]],jpx400chart[[#Headers],[銘柄名称]])</f>
        <v>東ソー</v>
      </c>
      <c r="C94" cm="1">
        <f t="array" ref="C94">_xll.RssMarket(jpx400chart[[#This Row],[コード]],jpx400chart[[#Headers],[現在値]])</f>
        <v>2536</v>
      </c>
      <c r="D94" t="str">
        <f>"'[jpx400_data.xlsm]"&amp;jpx400chart[[#This Row],[コード]]&amp;"'!"&amp;"tbl"&amp;jpx400chart[[#This Row],[コード]]&amp;"_[#見出し]"</f>
        <v>'[jpx400_data.xlsm]4042'!tbl4042_[#見出し]</v>
      </c>
      <c r="E94" t="str" cm="1">
        <f t="array" ref="E94">_xll.RssChartPast(INDIRECT(jpx400chart[[#This Row],[ヘッダー行]]), jpx400chart[[#This Row],[コード]], "D",20160401,3000)</f>
        <v>=RssChartPast(INDIRECT([@ヘッダー行]), [@コード], "D",20160401,3000) =&gt; 完了</v>
      </c>
    </row>
    <row r="95" spans="1:5" x14ac:dyDescent="0.45">
      <c r="A95">
        <f>_400_j_pdf[[#This Row],[コード]]</f>
        <v>4062</v>
      </c>
      <c r="B95" t="str" cm="1">
        <f t="array" ref="B95">_xll.RssMarket(jpx400chart[[#This Row],[コード]],jpx400chart[[#Headers],[銘柄名称]])</f>
        <v>イビデン</v>
      </c>
      <c r="C95" cm="1">
        <f t="array" ref="C95">_xll.RssMarket(jpx400chart[[#This Row],[コード]],jpx400chart[[#Headers],[現在値]])</f>
        <v>8000</v>
      </c>
      <c r="D95" t="str">
        <f>"'[jpx400_data.xlsm]"&amp;jpx400chart[[#This Row],[コード]]&amp;"'!"&amp;"tbl"&amp;jpx400chart[[#This Row],[コード]]&amp;"_[#見出し]"</f>
        <v>'[jpx400_data.xlsm]4062'!tbl4062_[#見出し]</v>
      </c>
      <c r="E95" t="str" cm="1">
        <f t="array" ref="E95">_xll.RssChartPast(INDIRECT(jpx400chart[[#This Row],[ヘッダー行]]), jpx400chart[[#This Row],[コード]], "D",20160401,3000)</f>
        <v>=RssChartPast(INDIRECT([@ヘッダー行]), [@コード], "D",20160401,3000) =&gt; 完了</v>
      </c>
    </row>
    <row r="96" spans="1:5" x14ac:dyDescent="0.45">
      <c r="A96">
        <f>_400_j_pdf[[#This Row],[コード]]</f>
        <v>4063</v>
      </c>
      <c r="B96" t="str" cm="1">
        <f t="array" ref="B96">_xll.RssMarket(jpx400chart[[#This Row],[コード]],jpx400chart[[#Headers],[銘柄名称]])</f>
        <v>信越化学</v>
      </c>
      <c r="C96" cm="1">
        <f t="array" ref="C96">_xll.RssMarket(jpx400chart[[#This Row],[コード]],jpx400chart[[#Headers],[現在値]])</f>
        <v>5476</v>
      </c>
      <c r="D96" t="str">
        <f>"'[jpx400_data.xlsm]"&amp;jpx400chart[[#This Row],[コード]]&amp;"'!"&amp;"tbl"&amp;jpx400chart[[#This Row],[コード]]&amp;"_[#見出し]"</f>
        <v>'[jpx400_data.xlsm]4063'!tbl4063_[#見出し]</v>
      </c>
      <c r="E96" t="str" cm="1">
        <f t="array" ref="E96">_xll.RssChartPast(INDIRECT(jpx400chart[[#This Row],[ヘッダー行]]), jpx400chart[[#This Row],[コード]], "D",20160401,3000)</f>
        <v>=RssChartPast(INDIRECT([@ヘッダー行]), [@コード], "D",20160401,3000) =&gt; 完了</v>
      </c>
    </row>
    <row r="97" spans="1:5" x14ac:dyDescent="0.45">
      <c r="A97">
        <f>_400_j_pdf[[#This Row],[コード]]</f>
        <v>4088</v>
      </c>
      <c r="B97" t="str" cm="1">
        <f t="array" ref="B97">_xll.RssMarket(jpx400chart[[#This Row],[コード]],jpx400chart[[#Headers],[銘柄名称]])</f>
        <v>エア・ウォーター</v>
      </c>
      <c r="C97" cm="1">
        <f t="array" ref="C97">_xll.RssMarket(jpx400chart[[#This Row],[コード]],jpx400chart[[#Headers],[現在値]])</f>
        <v>2364</v>
      </c>
      <c r="D97" t="str">
        <f>"'[jpx400_data.xlsm]"&amp;jpx400chart[[#This Row],[コード]]&amp;"'!"&amp;"tbl"&amp;jpx400chart[[#This Row],[コード]]&amp;"_[#見出し]"</f>
        <v>'[jpx400_data.xlsm]4088'!tbl4088_[#見出し]</v>
      </c>
      <c r="E97" t="str" cm="1">
        <f t="array" ref="E97">_xll.RssChartPast(INDIRECT(jpx400chart[[#This Row],[ヘッダー行]]), jpx400chart[[#This Row],[コード]], "D",20160401,3000)</f>
        <v>=RssChartPast(INDIRECT([@ヘッダー行]), [@コード], "D",20160401,3000) =&gt; 完了</v>
      </c>
    </row>
    <row r="98" spans="1:5" x14ac:dyDescent="0.45">
      <c r="A98">
        <f>_400_j_pdf[[#This Row],[コード]]</f>
        <v>4091</v>
      </c>
      <c r="B98" t="str" cm="1">
        <f t="array" ref="B98">_xll.RssMarket(jpx400chart[[#This Row],[コード]],jpx400chart[[#Headers],[銘柄名称]])</f>
        <v>日本酸素ＨＬＤＧＳ</v>
      </c>
      <c r="C98" cm="1">
        <f t="array" ref="C98">_xll.RssMarket(jpx400chart[[#This Row],[コード]],jpx400chart[[#Headers],[現在値]])</f>
        <v>4552</v>
      </c>
      <c r="D98" t="str">
        <f>"'[jpx400_data.xlsm]"&amp;jpx400chart[[#This Row],[コード]]&amp;"'!"&amp;"tbl"&amp;jpx400chart[[#This Row],[コード]]&amp;"_[#見出し]"</f>
        <v>'[jpx400_data.xlsm]4091'!tbl4091_[#見出し]</v>
      </c>
      <c r="E98" t="str" cm="1">
        <f t="array" ref="E98">_xll.RssChartPast(INDIRECT(jpx400chart[[#This Row],[ヘッダー行]]), jpx400chart[[#This Row],[コード]], "D",20160401,3000)</f>
        <v>=RssChartPast(INDIRECT([@ヘッダー行]), [@コード], "D",20160401,3000) =&gt; 完了</v>
      </c>
    </row>
    <row r="99" spans="1:5" x14ac:dyDescent="0.45">
      <c r="A99">
        <f>_400_j_pdf[[#This Row],[コード]]</f>
        <v>4151</v>
      </c>
      <c r="B99" t="str" cm="1">
        <f t="array" ref="B99">_xll.RssMarket(jpx400chart[[#This Row],[コード]],jpx400chart[[#Headers],[銘柄名称]])</f>
        <v>協和キリン</v>
      </c>
      <c r="C99" cm="1">
        <f t="array" ref="C99">_xll.RssMarket(jpx400chart[[#This Row],[コード]],jpx400chart[[#Headers],[現在値]])</f>
        <v>2606.5</v>
      </c>
      <c r="D99" t="str">
        <f>"'[jpx400_data.xlsm]"&amp;jpx400chart[[#This Row],[コード]]&amp;"'!"&amp;"tbl"&amp;jpx400chart[[#This Row],[コード]]&amp;"_[#見出し]"</f>
        <v>'[jpx400_data.xlsm]4151'!tbl4151_[#見出し]</v>
      </c>
      <c r="E99" t="str" cm="1">
        <f t="array" ref="E99">_xll.RssChartPast(INDIRECT(jpx400chart[[#This Row],[ヘッダー行]]), jpx400chart[[#This Row],[コード]], "D",20160401,3000)</f>
        <v>=RssChartPast(INDIRECT([@ヘッダー行]), [@コード], "D",20160401,3000) =&gt; 完了</v>
      </c>
    </row>
    <row r="100" spans="1:5" x14ac:dyDescent="0.45">
      <c r="A100">
        <f>_400_j_pdf[[#This Row],[コード]]</f>
        <v>4182</v>
      </c>
      <c r="B100" t="str" cm="1">
        <f t="array" ref="B100">_xll.RssMarket(jpx400chart[[#This Row],[コード]],jpx400chart[[#Headers],[銘柄名称]])</f>
        <v>三菱瓦斯化学</v>
      </c>
      <c r="C100" cm="1">
        <f t="array" ref="C100">_xll.RssMarket(jpx400chart[[#This Row],[コード]],jpx400chart[[#Headers],[現在値]])</f>
        <v>3100</v>
      </c>
      <c r="D100" t="str">
        <f>"'[jpx400_data.xlsm]"&amp;jpx400chart[[#This Row],[コード]]&amp;"'!"&amp;"tbl"&amp;jpx400chart[[#This Row],[コード]]&amp;"_[#見出し]"</f>
        <v>'[jpx400_data.xlsm]4182'!tbl4182_[#見出し]</v>
      </c>
      <c r="E100" t="str" cm="1">
        <f t="array" ref="E100">_xll.RssChartPast(INDIRECT(jpx400chart[[#This Row],[ヘッダー行]]), jpx400chart[[#This Row],[コード]], "D",20160401,3000)</f>
        <v>=RssChartPast(INDIRECT([@ヘッダー行]), [@コード], "D",20160401,3000) =&gt; 完了</v>
      </c>
    </row>
    <row r="101" spans="1:5" x14ac:dyDescent="0.45">
      <c r="A101">
        <f>_400_j_pdf[[#This Row],[コード]]</f>
        <v>4183</v>
      </c>
      <c r="B101" t="str" cm="1">
        <f t="array" ref="B101">_xll.RssMarket(jpx400chart[[#This Row],[コード]],jpx400chart[[#Headers],[銘柄名称]])</f>
        <v>三井化学</v>
      </c>
      <c r="C101" cm="1">
        <f t="array" ref="C101">_xll.RssMarket(jpx400chart[[#This Row],[コード]],jpx400chart[[#Headers],[現在値]])</f>
        <v>2251</v>
      </c>
      <c r="D101" t="str">
        <f>"'[jpx400_data.xlsm]"&amp;jpx400chart[[#This Row],[コード]]&amp;"'!"&amp;"tbl"&amp;jpx400chart[[#This Row],[コード]]&amp;"_[#見出し]"</f>
        <v>'[jpx400_data.xlsm]4183'!tbl4183_[#見出し]</v>
      </c>
      <c r="E101" t="str" cm="1">
        <f t="array" ref="E101">_xll.RssChartPast(INDIRECT(jpx400chart[[#This Row],[ヘッダー行]]), jpx400chart[[#This Row],[コード]], "D",20160401,3000)</f>
        <v>=RssChartPast(INDIRECT([@ヘッダー行]), [@コード], "D",20160401,3000) =&gt; 完了</v>
      </c>
    </row>
    <row r="102" spans="1:5" x14ac:dyDescent="0.45">
      <c r="A102">
        <f>_400_j_pdf[[#This Row],[コード]]</f>
        <v>4186</v>
      </c>
      <c r="B102" t="str" cm="1">
        <f t="array" ref="B102">_xll.RssMarket(jpx400chart[[#This Row],[コード]],jpx400chart[[#Headers],[銘柄名称]])</f>
        <v>東京応化工業</v>
      </c>
      <c r="C102" cm="1">
        <f t="array" ref="C102">_xll.RssMarket(jpx400chart[[#This Row],[コード]],jpx400chart[[#Headers],[現在値]])</f>
        <v>6818</v>
      </c>
      <c r="D102" t="str">
        <f>"'[jpx400_data.xlsm]"&amp;jpx400chart[[#This Row],[コード]]&amp;"'!"&amp;"tbl"&amp;jpx400chart[[#This Row],[コード]]&amp;"_[#見出し]"</f>
        <v>'[jpx400_data.xlsm]4186'!tbl4186_[#見出し]</v>
      </c>
      <c r="E102" t="str" cm="1">
        <f t="array" ref="E102">_xll.RssChartPast(INDIRECT(jpx400chart[[#This Row],[ヘッダー行]]), jpx400chart[[#This Row],[コード]], "D",20160401,3000)</f>
        <v>=RssChartPast(INDIRECT([@ヘッダー行]), [@コード], "D",20160401,3000) =&gt; 完了</v>
      </c>
    </row>
    <row r="103" spans="1:5" x14ac:dyDescent="0.45">
      <c r="A103">
        <f>_400_j_pdf[[#This Row],[コード]]</f>
        <v>4188</v>
      </c>
      <c r="B103" t="str" cm="1">
        <f t="array" ref="B103">_xll.RssMarket(jpx400chart[[#This Row],[コード]],jpx400chart[[#Headers],[銘柄名称]])</f>
        <v>三菱ケミカルグループ</v>
      </c>
      <c r="C103" cm="1">
        <f t="array" ref="C103">_xll.RssMarket(jpx400chart[[#This Row],[コード]],jpx400chart[[#Headers],[現在値]])</f>
        <v>1004</v>
      </c>
      <c r="D103" t="str">
        <f>"'[jpx400_data.xlsm]"&amp;jpx400chart[[#This Row],[コード]]&amp;"'!"&amp;"tbl"&amp;jpx400chart[[#This Row],[コード]]&amp;"_[#見出し]"</f>
        <v>'[jpx400_data.xlsm]4188'!tbl4188_[#見出し]</v>
      </c>
      <c r="E103" t="str" cm="1">
        <f t="array" ref="E103">_xll.RssChartPast(INDIRECT(jpx400chart[[#This Row],[ヘッダー行]]), jpx400chart[[#This Row],[コード]], "D",20160401,3000)</f>
        <v>=RssChartPast(INDIRECT([@ヘッダー行]), [@コード], "D",20160401,3000) =&gt; 完了</v>
      </c>
    </row>
    <row r="104" spans="1:5" x14ac:dyDescent="0.45">
      <c r="A104">
        <f>_400_j_pdf[[#This Row],[コード]]</f>
        <v>4194</v>
      </c>
      <c r="B104" t="str" cm="1">
        <f t="array" ref="B104">_xll.RssMarket(jpx400chart[[#This Row],[コード]],jpx400chart[[#Headers],[銘柄名称]])</f>
        <v>ビジョナル</v>
      </c>
      <c r="C104" cm="1">
        <f t="array" ref="C104">_xll.RssMarket(jpx400chart[[#This Row],[コード]],jpx400chart[[#Headers],[現在値]])</f>
        <v>8680</v>
      </c>
      <c r="D104" t="str">
        <f>"'[jpx400_data.xlsm]"&amp;jpx400chart[[#This Row],[コード]]&amp;"'!"&amp;"tbl"&amp;jpx400chart[[#This Row],[コード]]&amp;"_[#見出し]"</f>
        <v>'[jpx400_data.xlsm]4194'!tbl4194_[#見出し]</v>
      </c>
      <c r="E104" t="str" cm="1">
        <f t="array" ref="E104">_xll.RssChartPast(INDIRECT(jpx400chart[[#This Row],[ヘッダー行]]), jpx400chart[[#This Row],[コード]], "D",20160401,3000)</f>
        <v>=RssChartPast(INDIRECT([@ヘッダー行]), [@コード], "D",20160401,3000) =&gt; 完了</v>
      </c>
    </row>
    <row r="105" spans="1:5" x14ac:dyDescent="0.45">
      <c r="A105">
        <f>_400_j_pdf[[#This Row],[コード]]</f>
        <v>4202</v>
      </c>
      <c r="B105" t="str" cm="1">
        <f t="array" ref="B105">_xll.RssMarket(jpx400chart[[#This Row],[コード]],jpx400chart[[#Headers],[銘柄名称]])</f>
        <v>ダイセル</v>
      </c>
      <c r="C105" cm="1">
        <f t="array" ref="C105">_xll.RssMarket(jpx400chart[[#This Row],[コード]],jpx400chart[[#Headers],[現在値]])</f>
        <v>1464.5</v>
      </c>
      <c r="D105" t="str">
        <f>"'[jpx400_data.xlsm]"&amp;jpx400chart[[#This Row],[コード]]&amp;"'!"&amp;"tbl"&amp;jpx400chart[[#This Row],[コード]]&amp;"_[#見出し]"</f>
        <v>'[jpx400_data.xlsm]4202'!tbl4202_[#見出し]</v>
      </c>
      <c r="E105" t="str" cm="1">
        <f t="array" ref="E105">_xll.RssChartPast(INDIRECT(jpx400chart[[#This Row],[ヘッダー行]]), jpx400chart[[#This Row],[コード]], "D",20160401,3000)</f>
        <v>=RssChartPast(INDIRECT([@ヘッダー行]), [@コード], "D",20160401,3000) =&gt; 完了</v>
      </c>
    </row>
    <row r="106" spans="1:5" x14ac:dyDescent="0.45">
      <c r="A106">
        <f>_400_j_pdf[[#This Row],[コード]]</f>
        <v>4203</v>
      </c>
      <c r="B106" t="str" cm="1">
        <f t="array" ref="B106">_xll.RssMarket(jpx400chart[[#This Row],[コード]],jpx400chart[[#Headers],[銘柄名称]])</f>
        <v>住友ベ－クライト</v>
      </c>
      <c r="C106" cm="1">
        <f t="array" ref="C106">_xll.RssMarket(jpx400chart[[#This Row],[コード]],jpx400chart[[#Headers],[現在値]])</f>
        <v>5523</v>
      </c>
      <c r="D106" t="str">
        <f>"'[jpx400_data.xlsm]"&amp;jpx400chart[[#This Row],[コード]]&amp;"'!"&amp;"tbl"&amp;jpx400chart[[#This Row],[コード]]&amp;"_[#見出し]"</f>
        <v>'[jpx400_data.xlsm]4203'!tbl4203_[#見出し]</v>
      </c>
      <c r="E106" t="str" cm="1">
        <f t="array" ref="E106">_xll.RssChartPast(INDIRECT(jpx400chart[[#This Row],[ヘッダー行]]), jpx400chart[[#This Row],[コード]], "D",20160401,3000)</f>
        <v>=RssChartPast(INDIRECT([@ヘッダー行]), [@コード], "D",20160401,3000) =&gt; 完了</v>
      </c>
    </row>
    <row r="107" spans="1:5" x14ac:dyDescent="0.45">
      <c r="A107">
        <f>_400_j_pdf[[#This Row],[コード]]</f>
        <v>4204</v>
      </c>
      <c r="B107" t="str" cm="1">
        <f t="array" ref="B107">_xll.RssMarket(jpx400chart[[#This Row],[コード]],jpx400chart[[#Headers],[銘柄名称]])</f>
        <v>積水化学</v>
      </c>
      <c r="C107" cm="1">
        <f t="array" ref="C107">_xll.RssMarket(jpx400chart[[#This Row],[コード]],jpx400chart[[#Headers],[現在値]])</f>
        <v>2777</v>
      </c>
      <c r="D107" t="str">
        <f>"'[jpx400_data.xlsm]"&amp;jpx400chart[[#This Row],[コード]]&amp;"'!"&amp;"tbl"&amp;jpx400chart[[#This Row],[コード]]&amp;"_[#見出し]"</f>
        <v>'[jpx400_data.xlsm]4204'!tbl4204_[#見出し]</v>
      </c>
      <c r="E107" t="str" cm="1">
        <f t="array" ref="E107">_xll.RssChartPast(INDIRECT(jpx400chart[[#This Row],[ヘッダー行]]), jpx400chart[[#This Row],[コード]], "D",20160401,3000)</f>
        <v>=RssChartPast(INDIRECT([@ヘッダー行]), [@コード], "D",20160401,3000) =&gt; 完了</v>
      </c>
    </row>
    <row r="108" spans="1:5" x14ac:dyDescent="0.45">
      <c r="A108">
        <f>_400_j_pdf[[#This Row],[コード]]</f>
        <v>4307</v>
      </c>
      <c r="B108" t="str" cm="1">
        <f t="array" ref="B108">_xll.RssMarket(jpx400chart[[#This Row],[コード]],jpx400chart[[#Headers],[銘柄名称]])</f>
        <v>野村総合研究所</v>
      </c>
      <c r="C108" cm="1">
        <f t="array" ref="C108">_xll.RssMarket(jpx400chart[[#This Row],[コード]],jpx400chart[[#Headers],[現在値]])</f>
        <v>5839</v>
      </c>
      <c r="D108" t="str">
        <f>"'[jpx400_data.xlsm]"&amp;jpx400chart[[#This Row],[コード]]&amp;"'!"&amp;"tbl"&amp;jpx400chart[[#This Row],[コード]]&amp;"_[#見出し]"</f>
        <v>'[jpx400_data.xlsm]4307'!tbl4307_[#見出し]</v>
      </c>
      <c r="E108" t="str" cm="1">
        <f t="array" ref="E108">_xll.RssChartPast(INDIRECT(jpx400chart[[#This Row],[ヘッダー行]]), jpx400chart[[#This Row],[コード]], "D",20160401,3000)</f>
        <v>=RssChartPast(INDIRECT([@ヘッダー行]), [@コード], "D",20160401,3000) =&gt; 完了</v>
      </c>
    </row>
    <row r="109" spans="1:5" x14ac:dyDescent="0.45">
      <c r="A109">
        <f>_400_j_pdf[[#This Row],[コード]]</f>
        <v>4385</v>
      </c>
      <c r="B109" t="str" cm="1">
        <f t="array" ref="B109">_xll.RssMarket(jpx400chart[[#This Row],[コード]],jpx400chart[[#Headers],[銘柄名称]])</f>
        <v>メルカリ</v>
      </c>
      <c r="C109" cm="1">
        <f t="array" ref="C109">_xll.RssMarket(jpx400chart[[#This Row],[コード]],jpx400chart[[#Headers],[現在値]])</f>
        <v>3319</v>
      </c>
      <c r="D109" t="str">
        <f>"'[jpx400_data.xlsm]"&amp;jpx400chart[[#This Row],[コード]]&amp;"'!"&amp;"tbl"&amp;jpx400chart[[#This Row],[コード]]&amp;"_[#見出し]"</f>
        <v>'[jpx400_data.xlsm]4385'!tbl4385_[#見出し]</v>
      </c>
      <c r="E109" t="str" cm="1">
        <f t="array" ref="E109">_xll.RssChartPast(INDIRECT(jpx400chart[[#This Row],[ヘッダー行]]), jpx400chart[[#This Row],[コード]], "D",20160401,3000)</f>
        <v>=RssChartPast(INDIRECT([@ヘッダー行]), [@コード], "D",20160401,3000) =&gt; 完了</v>
      </c>
    </row>
    <row r="110" spans="1:5" x14ac:dyDescent="0.45">
      <c r="A110">
        <f>_400_j_pdf[[#This Row],[コード]]</f>
        <v>4401</v>
      </c>
      <c r="B110" t="str" cm="1">
        <f t="array" ref="B110">_xll.RssMarket(jpx400chart[[#This Row],[コード]],jpx400chart[[#Headers],[銘柄名称]])</f>
        <v>ＡＤＥＫＡ</v>
      </c>
      <c r="C110" cm="1">
        <f t="array" ref="C110">_xll.RssMarket(jpx400chart[[#This Row],[コード]],jpx400chart[[#Headers],[現在値]])</f>
        <v>4619</v>
      </c>
      <c r="D110" t="str">
        <f>"'[jpx400_data.xlsm]"&amp;jpx400chart[[#This Row],[コード]]&amp;"'!"&amp;"tbl"&amp;jpx400chart[[#This Row],[コード]]&amp;"_[#見出し]"</f>
        <v>'[jpx400_data.xlsm]4401'!tbl4401_[#見出し]</v>
      </c>
      <c r="E110" t="str" cm="1">
        <f t="array" ref="E110">_xll.RssChartPast(INDIRECT(jpx400chart[[#This Row],[ヘッダー行]]), jpx400chart[[#This Row],[コード]], "D",20160401,3000)</f>
        <v>=RssChartPast(INDIRECT([@ヘッダー行]), [@コード], "D",20160401,3000) =&gt; 完了</v>
      </c>
    </row>
    <row r="111" spans="1:5" x14ac:dyDescent="0.45">
      <c r="A111">
        <f>_400_j_pdf[[#This Row],[コード]]</f>
        <v>4403</v>
      </c>
      <c r="B111" t="str" cm="1">
        <f t="array" ref="B111">_xll.RssMarket(jpx400chart[[#This Row],[コード]],jpx400chart[[#Headers],[銘柄名称]])</f>
        <v>日油</v>
      </c>
      <c r="C111" cm="1">
        <f t="array" ref="C111">_xll.RssMarket(jpx400chart[[#This Row],[コード]],jpx400chart[[#Headers],[現在値]])</f>
        <v>3047</v>
      </c>
      <c r="D111" t="str">
        <f>"'[jpx400_data.xlsm]"&amp;jpx400chart[[#This Row],[コード]]&amp;"'!"&amp;"tbl"&amp;jpx400chart[[#This Row],[コード]]&amp;"_[#見出し]"</f>
        <v>'[jpx400_data.xlsm]4403'!tbl4403_[#見出し]</v>
      </c>
      <c r="E111" t="str" cm="1">
        <f t="array" ref="E111">_xll.RssChartPast(INDIRECT(jpx400chart[[#This Row],[ヘッダー行]]), jpx400chart[[#This Row],[コード]], "D",20160401,3000)</f>
        <v>=RssChartPast(INDIRECT([@ヘッダー行]), [@コード], "D",20160401,3000) =&gt; 完了</v>
      </c>
    </row>
    <row r="112" spans="1:5" x14ac:dyDescent="0.45">
      <c r="A112">
        <f>_400_j_pdf[[#This Row],[コード]]</f>
        <v>4452</v>
      </c>
      <c r="B112" t="str" cm="1">
        <f t="array" ref="B112">_xll.RssMarket(jpx400chart[[#This Row],[コード]],jpx400chart[[#Headers],[銘柄名称]])</f>
        <v>花王</v>
      </c>
      <c r="C112" cm="1">
        <f t="array" ref="C112">_xll.RssMarket(jpx400chart[[#This Row],[コード]],jpx400chart[[#Headers],[現在値]])</f>
        <v>6179</v>
      </c>
      <c r="D112" t="str">
        <f>"'[jpx400_data.xlsm]"&amp;jpx400chart[[#This Row],[コード]]&amp;"'!"&amp;"tbl"&amp;jpx400chart[[#This Row],[コード]]&amp;"_[#見出し]"</f>
        <v>'[jpx400_data.xlsm]4452'!tbl4452_[#見出し]</v>
      </c>
      <c r="E112" t="str" cm="1">
        <f t="array" ref="E112">_xll.RssChartPast(INDIRECT(jpx400chart[[#This Row],[ヘッダー行]]), jpx400chart[[#This Row],[コード]], "D",20160401,3000)</f>
        <v>=RssChartPast(INDIRECT([@ヘッダー行]), [@コード], "D",20160401,3000) =&gt; 完了</v>
      </c>
    </row>
    <row r="113" spans="1:5" x14ac:dyDescent="0.45">
      <c r="A113">
        <f>_400_j_pdf[[#This Row],[コード]]</f>
        <v>4503</v>
      </c>
      <c r="B113" t="str" cm="1">
        <f t="array" ref="B113">_xll.RssMarket(jpx400chart[[#This Row],[コード]],jpx400chart[[#Headers],[銘柄名称]])</f>
        <v>アステラス製薬</v>
      </c>
      <c r="C113" cm="1">
        <f t="array" ref="C113">_xll.RssMarket(jpx400chart[[#This Row],[コード]],jpx400chart[[#Headers],[現在値]])</f>
        <v>2199.5</v>
      </c>
      <c r="D113" t="str">
        <f>"'[jpx400_data.xlsm]"&amp;jpx400chart[[#This Row],[コード]]&amp;"'!"&amp;"tbl"&amp;jpx400chart[[#This Row],[コード]]&amp;"_[#見出し]"</f>
        <v>'[jpx400_data.xlsm]4503'!tbl4503_[#見出し]</v>
      </c>
      <c r="E113" t="str" cm="1">
        <f t="array" ref="E113">_xll.RssChartPast(INDIRECT(jpx400chart[[#This Row],[ヘッダー行]]), jpx400chart[[#This Row],[コード]], "D",20160401,3000)</f>
        <v>=RssChartPast(INDIRECT([@ヘッダー行]), [@コード], "D",20160401,3000) =&gt; 完了</v>
      </c>
    </row>
    <row r="114" spans="1:5" x14ac:dyDescent="0.45">
      <c r="A114">
        <f>_400_j_pdf[[#This Row],[コード]]</f>
        <v>4507</v>
      </c>
      <c r="B114" t="str" cm="1">
        <f t="array" ref="B114">_xll.RssMarket(jpx400chart[[#This Row],[コード]],jpx400chart[[#Headers],[銘柄名称]])</f>
        <v>塩野義製薬</v>
      </c>
      <c r="C114" cm="1">
        <f t="array" ref="C114">_xll.RssMarket(jpx400chart[[#This Row],[コード]],jpx400chart[[#Headers],[現在値]])</f>
        <v>3150</v>
      </c>
      <c r="D114" t="str">
        <f>"'[jpx400_data.xlsm]"&amp;jpx400chart[[#This Row],[コード]]&amp;"'!"&amp;"tbl"&amp;jpx400chart[[#This Row],[コード]]&amp;"_[#見出し]"</f>
        <v>'[jpx400_data.xlsm]4507'!tbl4507_[#見出し]</v>
      </c>
      <c r="E114" t="str" cm="1">
        <f t="array" ref="E114">_xll.RssChartPast(INDIRECT(jpx400chart[[#This Row],[ヘッダー行]]), jpx400chart[[#This Row],[コード]], "D",20160401,3000)</f>
        <v>=RssChartPast(INDIRECT([@ヘッダー行]), [@コード], "D",20160401,3000) =&gt; 完了</v>
      </c>
    </row>
    <row r="115" spans="1:5" x14ac:dyDescent="0.45">
      <c r="A115">
        <f>_400_j_pdf[[#This Row],[コード]]</f>
        <v>4516</v>
      </c>
      <c r="B115" t="str" cm="1">
        <f t="array" ref="B115">_xll.RssMarket(jpx400chart[[#This Row],[コード]],jpx400chart[[#Headers],[銘柄名称]])</f>
        <v>日本新薬</v>
      </c>
      <c r="C115" cm="1">
        <f t="array" ref="C115">_xll.RssMarket(jpx400chart[[#This Row],[コード]],jpx400chart[[#Headers],[現在値]])</f>
        <v>5246</v>
      </c>
      <c r="D115" t="str">
        <f>"'[jpx400_data.xlsm]"&amp;jpx400chart[[#This Row],[コード]]&amp;"'!"&amp;"tbl"&amp;jpx400chart[[#This Row],[コード]]&amp;"_[#見出し]"</f>
        <v>'[jpx400_data.xlsm]4516'!tbl4516_[#見出し]</v>
      </c>
      <c r="E115" t="str" cm="1">
        <f t="array" ref="E115">_xll.RssChartPast(INDIRECT(jpx400chart[[#This Row],[ヘッダー行]]), jpx400chart[[#This Row],[コード]], "D",20160401,3000)</f>
        <v>=RssChartPast(INDIRECT([@ヘッダー行]), [@コード], "D",20160401,3000) =&gt; 完了</v>
      </c>
    </row>
    <row r="116" spans="1:5" x14ac:dyDescent="0.45">
      <c r="A116">
        <f>_400_j_pdf[[#This Row],[コード]]</f>
        <v>4519</v>
      </c>
      <c r="B116" t="str" cm="1">
        <f t="array" ref="B116">_xll.RssMarket(jpx400chart[[#This Row],[コード]],jpx400chart[[#Headers],[銘柄名称]])</f>
        <v>中外製薬</v>
      </c>
      <c r="C116" cm="1">
        <f t="array" ref="C116">_xll.RssMarket(jpx400chart[[#This Row],[コード]],jpx400chart[[#Headers],[現在値]])</f>
        <v>8642</v>
      </c>
      <c r="D116" t="str">
        <f>"'[jpx400_data.xlsm]"&amp;jpx400chart[[#This Row],[コード]]&amp;"'!"&amp;"tbl"&amp;jpx400chart[[#This Row],[コード]]&amp;"_[#見出し]"</f>
        <v>'[jpx400_data.xlsm]4519'!tbl4519_[#見出し]</v>
      </c>
      <c r="E116" t="str" cm="1">
        <f t="array" ref="E116">_xll.RssChartPast(INDIRECT(jpx400chart[[#This Row],[ヘッダー行]]), jpx400chart[[#This Row],[コード]], "D",20160401,3000)</f>
        <v>=RssChartPast(INDIRECT([@ヘッダー行]), [@コード], "D",20160401,3000) =&gt; 完了</v>
      </c>
    </row>
    <row r="117" spans="1:5" x14ac:dyDescent="0.45">
      <c r="A117">
        <f>_400_j_pdf[[#This Row],[コード]]</f>
        <v>4523</v>
      </c>
      <c r="B117" t="str" cm="1">
        <f t="array" ref="B117">_xll.RssMarket(jpx400chart[[#This Row],[コード]],jpx400chart[[#Headers],[銘柄名称]])</f>
        <v>エーザイ</v>
      </c>
      <c r="C117" cm="1">
        <f t="array" ref="C117">_xll.RssMarket(jpx400chart[[#This Row],[コード]],jpx400chart[[#Headers],[現在値]])</f>
        <v>4418</v>
      </c>
      <c r="D117" t="str">
        <f>"'[jpx400_data.xlsm]"&amp;jpx400chart[[#This Row],[コード]]&amp;"'!"&amp;"tbl"&amp;jpx400chart[[#This Row],[コード]]&amp;"_[#見出し]"</f>
        <v>'[jpx400_data.xlsm]4523'!tbl4523_[#見出し]</v>
      </c>
      <c r="E117" t="str" cm="1">
        <f t="array" ref="E117">_xll.RssChartPast(INDIRECT(jpx400chart[[#This Row],[ヘッダー行]]), jpx400chart[[#This Row],[コード]], "D",20160401,3000)</f>
        <v>=RssChartPast(INDIRECT([@ヘッダー行]), [@コード], "D",20160401,3000) =&gt; 完了</v>
      </c>
    </row>
    <row r="118" spans="1:5" x14ac:dyDescent="0.45">
      <c r="A118">
        <f>_400_j_pdf[[#This Row],[コード]]</f>
        <v>4527</v>
      </c>
      <c r="B118" t="str" cm="1">
        <f t="array" ref="B118">_xll.RssMarket(jpx400chart[[#This Row],[コード]],jpx400chart[[#Headers],[銘柄名称]])</f>
        <v>ロート製薬</v>
      </c>
      <c r="C118" cm="1">
        <f t="array" ref="C118">_xll.RssMarket(jpx400chart[[#This Row],[コード]],jpx400chart[[#Headers],[現在値]])</f>
        <v>2643.5</v>
      </c>
      <c r="D118" t="str">
        <f>"'[jpx400_data.xlsm]"&amp;jpx400chart[[#This Row],[コード]]&amp;"'!"&amp;"tbl"&amp;jpx400chart[[#This Row],[コード]]&amp;"_[#見出し]"</f>
        <v>'[jpx400_data.xlsm]4527'!tbl4527_[#見出し]</v>
      </c>
      <c r="E118" t="str" cm="1">
        <f t="array" ref="E118">_xll.RssChartPast(INDIRECT(jpx400chart[[#This Row],[ヘッダー行]]), jpx400chart[[#This Row],[コード]], "D",20160401,3000)</f>
        <v>=RssChartPast(INDIRECT([@ヘッダー行]), [@コード], "D",20160401,3000) =&gt; 完了</v>
      </c>
    </row>
    <row r="119" spans="1:5" x14ac:dyDescent="0.45">
      <c r="A119">
        <f>_400_j_pdf[[#This Row],[コード]]</f>
        <v>4528</v>
      </c>
      <c r="B119" t="str" cm="1">
        <f t="array" ref="B119">_xll.RssMarket(jpx400chart[[#This Row],[コード]],jpx400chart[[#Headers],[銘柄名称]])</f>
        <v>小野薬品</v>
      </c>
      <c r="C119" cm="1">
        <f t="array" ref="C119">_xll.RssMarket(jpx400chart[[#This Row],[コード]],jpx400chart[[#Headers],[現在値]])</f>
        <v>2323</v>
      </c>
      <c r="D119" t="str">
        <f>"'[jpx400_data.xlsm]"&amp;jpx400chart[[#This Row],[コード]]&amp;"'!"&amp;"tbl"&amp;jpx400chart[[#This Row],[コード]]&amp;"_[#見出し]"</f>
        <v>'[jpx400_data.xlsm]4528'!tbl4528_[#見出し]</v>
      </c>
      <c r="E119" t="str" cm="1">
        <f t="array" ref="E119">_xll.RssChartPast(INDIRECT(jpx400chart[[#This Row],[ヘッダー行]]), jpx400chart[[#This Row],[コード]], "D",20160401,3000)</f>
        <v>=RssChartPast(INDIRECT([@ヘッダー行]), [@コード], "D",20160401,3000) =&gt; 完了</v>
      </c>
    </row>
    <row r="120" spans="1:5" x14ac:dyDescent="0.45">
      <c r="A120">
        <f>_400_j_pdf[[#This Row],[コード]]</f>
        <v>4543</v>
      </c>
      <c r="B120" t="str" cm="1">
        <f t="array" ref="B120">_xll.RssMarket(jpx400chart[[#This Row],[コード]],jpx400chart[[#Headers],[銘柄名称]])</f>
        <v>テルモ</v>
      </c>
      <c r="C120" cm="1">
        <f t="array" ref="C120">_xll.RssMarket(jpx400chart[[#This Row],[コード]],jpx400chart[[#Headers],[現在値]])</f>
        <v>2081.5</v>
      </c>
      <c r="D120" t="str">
        <f>"'[jpx400_data.xlsm]"&amp;jpx400chart[[#This Row],[コード]]&amp;"'!"&amp;"tbl"&amp;jpx400chart[[#This Row],[コード]]&amp;"_[#見出し]"</f>
        <v>'[jpx400_data.xlsm]4543'!tbl4543_[#見出し]</v>
      </c>
      <c r="E120" t="str" cm="1">
        <f t="array" ref="E120">_xll.RssChartPast(INDIRECT(jpx400chart[[#This Row],[ヘッダー行]]), jpx400chart[[#This Row],[コード]], "D",20160401,3000)</f>
        <v>=RssChartPast(INDIRECT([@ヘッダー行]), [@コード], "D",20160401,3000) =&gt; 完了</v>
      </c>
    </row>
    <row r="121" spans="1:5" x14ac:dyDescent="0.45">
      <c r="A121">
        <f>_400_j_pdf[[#This Row],[コード]]</f>
        <v>4568</v>
      </c>
      <c r="B121" t="str" cm="1">
        <f t="array" ref="B121">_xll.RssMarket(jpx400chart[[#This Row],[コード]],jpx400chart[[#Headers],[銘柄名称]])</f>
        <v>第一三共</v>
      </c>
      <c r="C121" cm="1">
        <f t="array" ref="C121">_xll.RssMarket(jpx400chart[[#This Row],[コード]],jpx400chart[[#Headers],[現在値]])</f>
        <v>3044</v>
      </c>
      <c r="D121" t="str">
        <f>"'[jpx400_data.xlsm]"&amp;jpx400chart[[#This Row],[コード]]&amp;"'!"&amp;"tbl"&amp;jpx400chart[[#This Row],[コード]]&amp;"_[#見出し]"</f>
        <v>'[jpx400_data.xlsm]4568'!tbl4568_[#見出し]</v>
      </c>
      <c r="E121" t="str" cm="1">
        <f t="array" ref="E121">_xll.RssChartPast(INDIRECT(jpx400chart[[#This Row],[ヘッダー行]]), jpx400chart[[#This Row],[コード]], "D",20160401,3000)</f>
        <v>=RssChartPast(INDIRECT([@ヘッダー行]), [@コード], "D",20160401,3000) =&gt; 完了</v>
      </c>
    </row>
    <row r="122" spans="1:5" x14ac:dyDescent="0.45">
      <c r="A122">
        <f>_400_j_pdf[[#This Row],[コード]]</f>
        <v>4578</v>
      </c>
      <c r="B122" t="str" cm="1">
        <f t="array" ref="B122">_xll.RssMarket(jpx400chart[[#This Row],[コード]],jpx400chart[[#Headers],[銘柄名称]])</f>
        <v>大塚ホールディングス</v>
      </c>
      <c r="C122" cm="1">
        <f t="array" ref="C122">_xll.RssMarket(jpx400chart[[#This Row],[コード]],jpx400chart[[#Headers],[現在値]])</f>
        <v>9144</v>
      </c>
      <c r="D122" t="str">
        <f>"'[jpx400_data.xlsm]"&amp;jpx400chart[[#This Row],[コード]]&amp;"'!"&amp;"tbl"&amp;jpx400chart[[#This Row],[コード]]&amp;"_[#見出し]"</f>
        <v>'[jpx400_data.xlsm]4578'!tbl4578_[#見出し]</v>
      </c>
      <c r="E122" t="str" cm="1">
        <f t="array" ref="E122">_xll.RssChartPast(INDIRECT(jpx400chart[[#This Row],[ヘッダー行]]), jpx400chart[[#This Row],[コード]], "D",20160401,3000)</f>
        <v>=RssChartPast(INDIRECT([@ヘッダー行]), [@コード], "D",20160401,3000) =&gt; 完了</v>
      </c>
    </row>
    <row r="123" spans="1:5" x14ac:dyDescent="0.45">
      <c r="A123">
        <f>_400_j_pdf[[#This Row],[コード]]</f>
        <v>4587</v>
      </c>
      <c r="B123" t="str" cm="1">
        <f t="array" ref="B123">_xll.RssMarket(jpx400chart[[#This Row],[コード]],jpx400chart[[#Headers],[銘柄名称]])</f>
        <v>ペプチドリーム</v>
      </c>
      <c r="C123" cm="1">
        <f t="array" ref="C123">_xll.RssMarket(jpx400chart[[#This Row],[コード]],jpx400chart[[#Headers],[現在値]])</f>
        <v>1640</v>
      </c>
      <c r="D123" t="str">
        <f>"'[jpx400_data.xlsm]"&amp;jpx400chart[[#This Row],[コード]]&amp;"'!"&amp;"tbl"&amp;jpx400chart[[#This Row],[コード]]&amp;"_[#見出し]"</f>
        <v>'[jpx400_data.xlsm]4587'!tbl4587_[#見出し]</v>
      </c>
      <c r="E123" t="str" cm="1">
        <f t="array" ref="E123">_xll.RssChartPast(INDIRECT(jpx400chart[[#This Row],[ヘッダー行]]), jpx400chart[[#This Row],[コード]], "D",20160401,3000)</f>
        <v>=RssChartPast(INDIRECT([@ヘッダー行]), [@コード], "D",20160401,3000) =&gt; 完了</v>
      </c>
    </row>
    <row r="124" spans="1:5" x14ac:dyDescent="0.45">
      <c r="A124">
        <f>_400_j_pdf[[#This Row],[コード]]</f>
        <v>4612</v>
      </c>
      <c r="B124" t="str" cm="1">
        <f t="array" ref="B124">_xll.RssMarket(jpx400chart[[#This Row],[コード]],jpx400chart[[#Headers],[銘柄名称]])</f>
        <v>日本ペイントＨＯＬＤ</v>
      </c>
      <c r="C124" cm="1">
        <f t="array" ref="C124">_xll.RssMarket(jpx400chart[[#This Row],[コード]],jpx400chart[[#Headers],[現在値]])</f>
        <v>1008.5</v>
      </c>
      <c r="D124" t="str">
        <f>"'[jpx400_data.xlsm]"&amp;jpx400chart[[#This Row],[コード]]&amp;"'!"&amp;"tbl"&amp;jpx400chart[[#This Row],[コード]]&amp;"_[#見出し]"</f>
        <v>'[jpx400_data.xlsm]4612'!tbl4612_[#見出し]</v>
      </c>
      <c r="E124" t="str" cm="1">
        <f t="array" ref="E124">_xll.RssChartPast(INDIRECT(jpx400chart[[#This Row],[ヘッダー行]]), jpx400chart[[#This Row],[コード]], "D",20160401,3000)</f>
        <v>=RssChartPast(INDIRECT([@ヘッダー行]), [@コード], "D",20160401,3000) =&gt; 完了</v>
      </c>
    </row>
    <row r="125" spans="1:5" x14ac:dyDescent="0.45">
      <c r="A125">
        <f>_400_j_pdf[[#This Row],[コード]]</f>
        <v>4613</v>
      </c>
      <c r="B125" t="str" cm="1">
        <f t="array" ref="B125">_xll.RssMarket(jpx400chart[[#This Row],[コード]],jpx400chart[[#Headers],[銘柄名称]])</f>
        <v>関西ペイント</v>
      </c>
      <c r="C125" cm="1">
        <f t="array" ref="C125">_xll.RssMarket(jpx400chart[[#This Row],[コード]],jpx400chart[[#Headers],[現在値]])</f>
        <v>2557</v>
      </c>
      <c r="D125" t="str">
        <f>"'[jpx400_data.xlsm]"&amp;jpx400chart[[#This Row],[コード]]&amp;"'!"&amp;"tbl"&amp;jpx400chart[[#This Row],[コード]]&amp;"_[#見出し]"</f>
        <v>'[jpx400_data.xlsm]4613'!tbl4613_[#見出し]</v>
      </c>
      <c r="E125" t="str" cm="1">
        <f t="array" ref="E125">_xll.RssChartPast(INDIRECT(jpx400chart[[#This Row],[ヘッダー行]]), jpx400chart[[#This Row],[コード]], "D",20160401,3000)</f>
        <v>=RssChartPast(INDIRECT([@ヘッダー行]), [@コード], "D",20160401,3000) =&gt; 完了</v>
      </c>
    </row>
    <row r="126" spans="1:5" x14ac:dyDescent="0.45">
      <c r="A126">
        <f>_400_j_pdf[[#This Row],[コード]]</f>
        <v>4626</v>
      </c>
      <c r="B126" t="str" cm="1">
        <f t="array" ref="B126">_xll.RssMarket(jpx400chart[[#This Row],[コード]],jpx400chart[[#Headers],[銘柄名称]])</f>
        <v>太陽ホールディングス</v>
      </c>
      <c r="C126" cm="1">
        <f t="array" ref="C126">_xll.RssMarket(jpx400chart[[#This Row],[コード]],jpx400chart[[#Headers],[現在値]])</f>
        <v>5171</v>
      </c>
      <c r="D126" t="str">
        <f>"'[jpx400_data.xlsm]"&amp;jpx400chart[[#This Row],[コード]]&amp;"'!"&amp;"tbl"&amp;jpx400chart[[#This Row],[コード]]&amp;"_[#見出し]"</f>
        <v>'[jpx400_data.xlsm]4626'!tbl4626_[#見出し]</v>
      </c>
      <c r="E126" t="str" cm="1">
        <f t="array" ref="E126">_xll.RssChartPast(INDIRECT(jpx400chart[[#This Row],[ヘッダー行]]), jpx400chart[[#This Row],[コード]], "D",20160401,3000)</f>
        <v>=RssChartPast(INDIRECT([@ヘッダー行]), [@コード], "D",20160401,3000) =&gt; 完了</v>
      </c>
    </row>
    <row r="127" spans="1:5" x14ac:dyDescent="0.45">
      <c r="A127">
        <f>_400_j_pdf[[#This Row],[コード]]</f>
        <v>4661</v>
      </c>
      <c r="B127" t="str" cm="1">
        <f t="array" ref="B127">_xll.RssMarket(jpx400chart[[#This Row],[コード]],jpx400chart[[#Headers],[銘柄名称]])</f>
        <v>オリエンタルランド</v>
      </c>
      <c r="C127" cm="1">
        <f t="array" ref="C127">_xll.RssMarket(jpx400chart[[#This Row],[コード]],jpx400chart[[#Headers],[現在値]])</f>
        <v>2760</v>
      </c>
      <c r="D127" t="str">
        <f>"'[jpx400_data.xlsm]"&amp;jpx400chart[[#This Row],[コード]]&amp;"'!"&amp;"tbl"&amp;jpx400chart[[#This Row],[コード]]&amp;"_[#見出し]"</f>
        <v>'[jpx400_data.xlsm]4661'!tbl4661_[#見出し]</v>
      </c>
      <c r="E127" t="str" cm="1">
        <f t="array" ref="E127">_xll.RssChartPast(INDIRECT(jpx400chart[[#This Row],[ヘッダー行]]), jpx400chart[[#This Row],[コード]], "D",20160401,3000)</f>
        <v>=RssChartPast(INDIRECT([@ヘッダー行]), [@コード], "D",20160401,3000) =&gt; 完了</v>
      </c>
    </row>
    <row r="128" spans="1:5" x14ac:dyDescent="0.45">
      <c r="A128">
        <f>_400_j_pdf[[#This Row],[コード]]</f>
        <v>4666</v>
      </c>
      <c r="B128" t="str" cm="1">
        <f t="array" ref="B128">_xll.RssMarket(jpx400chart[[#This Row],[コード]],jpx400chart[[#Headers],[銘柄名称]])</f>
        <v>パーク２４</v>
      </c>
      <c r="C128" cm="1">
        <f t="array" ref="C128">_xll.RssMarket(jpx400chart[[#This Row],[コード]],jpx400chart[[#Headers],[現在値]])</f>
        <v>2236</v>
      </c>
      <c r="D128" t="str">
        <f>"'[jpx400_data.xlsm]"&amp;jpx400chart[[#This Row],[コード]]&amp;"'!"&amp;"tbl"&amp;jpx400chart[[#This Row],[コード]]&amp;"_[#見出し]"</f>
        <v>'[jpx400_data.xlsm]4666'!tbl4666_[#見出し]</v>
      </c>
      <c r="E128" t="str" cm="1">
        <f t="array" ref="E128">_xll.RssChartPast(INDIRECT(jpx400chart[[#This Row],[ヘッダー行]]), jpx400chart[[#This Row],[コード]], "D",20160401,3000)</f>
        <v>=RssChartPast(INDIRECT([@ヘッダー行]), [@コード], "D",20160401,3000) =&gt; 完了</v>
      </c>
    </row>
    <row r="129" spans="1:5" x14ac:dyDescent="0.45">
      <c r="A129">
        <f>_400_j_pdf[[#This Row],[コード]]</f>
        <v>4680</v>
      </c>
      <c r="B129" t="str" cm="1">
        <f t="array" ref="B129">_xll.RssMarket(jpx400chart[[#This Row],[コード]],jpx400chart[[#Headers],[銘柄名称]])</f>
        <v>ラウンドワン</v>
      </c>
      <c r="C129" cm="1">
        <f t="array" ref="C129">_xll.RssMarket(jpx400chart[[#This Row],[コード]],jpx400chart[[#Headers],[現在値]])</f>
        <v>1116</v>
      </c>
      <c r="D129" t="str">
        <f>"'[jpx400_data.xlsm]"&amp;jpx400chart[[#This Row],[コード]]&amp;"'!"&amp;"tbl"&amp;jpx400chart[[#This Row],[コード]]&amp;"_[#見出し]"</f>
        <v>'[jpx400_data.xlsm]4680'!tbl4680_[#見出し]</v>
      </c>
      <c r="E129" t="str" cm="1">
        <f t="array" ref="E129">_xll.RssChartPast(INDIRECT(jpx400chart[[#This Row],[ヘッダー行]]), jpx400chart[[#This Row],[コード]], "D",20160401,3000)</f>
        <v>=RssChartPast(INDIRECT([@ヘッダー行]), [@コード], "D",20160401,3000) =&gt; 完了</v>
      </c>
    </row>
    <row r="130" spans="1:5" x14ac:dyDescent="0.45">
      <c r="A130">
        <f>_400_j_pdf[[#This Row],[コード]]</f>
        <v>4681</v>
      </c>
      <c r="B130" t="str" cm="1">
        <f t="array" ref="B130">_xll.RssMarket(jpx400chart[[#This Row],[コード]],jpx400chart[[#Headers],[銘柄名称]])</f>
        <v>リゾートトラスト</v>
      </c>
      <c r="C130" cm="1">
        <f t="array" ref="C130">_xll.RssMarket(jpx400chart[[#This Row],[コード]],jpx400chart[[#Headers],[現在値]])</f>
        <v>1878.5</v>
      </c>
      <c r="D130" t="str">
        <f>"'[jpx400_data.xlsm]"&amp;jpx400chart[[#This Row],[コード]]&amp;"'!"&amp;"tbl"&amp;jpx400chart[[#This Row],[コード]]&amp;"_[#見出し]"</f>
        <v>'[jpx400_data.xlsm]4681'!tbl4681_[#見出し]</v>
      </c>
      <c r="E130" t="str" cm="1">
        <f t="array" ref="E130">_xll.RssChartPast(INDIRECT(jpx400chart[[#This Row],[ヘッダー行]]), jpx400chart[[#This Row],[コード]], "D",20160401,3000)</f>
        <v>=RssChartPast(INDIRECT([@ヘッダー行]), [@コード], "D",20160401,3000) =&gt; 完了</v>
      </c>
    </row>
    <row r="131" spans="1:5" x14ac:dyDescent="0.45">
      <c r="A131">
        <f>_400_j_pdf[[#This Row],[コード]]</f>
        <v>4684</v>
      </c>
      <c r="B131" t="str" cm="1">
        <f t="array" ref="B131">_xll.RssMarket(jpx400chart[[#This Row],[コード]],jpx400chart[[#Headers],[銘柄名称]])</f>
        <v>オービック</v>
      </c>
      <c r="C131" cm="1">
        <f t="array" ref="C131">_xll.RssMarket(jpx400chart[[#This Row],[コード]],jpx400chart[[#Headers],[現在値]])</f>
        <v>4626</v>
      </c>
      <c r="D131" t="str">
        <f>"'[jpx400_data.xlsm]"&amp;jpx400chart[[#This Row],[コード]]&amp;"'!"&amp;"tbl"&amp;jpx400chart[[#This Row],[コード]]&amp;"_[#見出し]"</f>
        <v>'[jpx400_data.xlsm]4684'!tbl4684_[#見出し]</v>
      </c>
      <c r="E131" t="str" cm="1">
        <f t="array" ref="E131">_xll.RssChartPast(INDIRECT(jpx400chart[[#This Row],[ヘッダー行]]), jpx400chart[[#This Row],[コード]], "D",20160401,3000)</f>
        <v>=RssChartPast(INDIRECT([@ヘッダー行]), [@コード], "D",20160401,3000) =&gt; 完了</v>
      </c>
    </row>
    <row r="132" spans="1:5" x14ac:dyDescent="0.45">
      <c r="A132">
        <f>_400_j_pdf[[#This Row],[コード]]</f>
        <v>4686</v>
      </c>
      <c r="B132" t="str" cm="1">
        <f t="array" ref="B132">_xll.RssMarket(jpx400chart[[#This Row],[コード]],jpx400chart[[#Headers],[銘柄名称]])</f>
        <v>ジャストシステム</v>
      </c>
      <c r="C132" cm="1">
        <f t="array" ref="C132">_xll.RssMarket(jpx400chart[[#This Row],[コード]],jpx400chart[[#Headers],[現在値]])</f>
        <v>4930</v>
      </c>
      <c r="D132" t="str">
        <f>"'[jpx400_data.xlsm]"&amp;jpx400chart[[#This Row],[コード]]&amp;"'!"&amp;"tbl"&amp;jpx400chart[[#This Row],[コード]]&amp;"_[#見出し]"</f>
        <v>'[jpx400_data.xlsm]4686'!tbl4686_[#見出し]</v>
      </c>
      <c r="E132" t="str" cm="1">
        <f t="array" ref="E132">_xll.RssChartPast(INDIRECT(jpx400chart[[#This Row],[ヘッダー行]]), jpx400chart[[#This Row],[コード]], "D",20160401,3000)</f>
        <v>=RssChartPast(INDIRECT([@ヘッダー行]), [@コード], "D",20160401,3000) =&gt; 完了</v>
      </c>
    </row>
    <row r="133" spans="1:5" x14ac:dyDescent="0.45">
      <c r="A133">
        <f>_400_j_pdf[[#This Row],[コード]]</f>
        <v>4689</v>
      </c>
      <c r="B133" t="str" cm="1">
        <f t="array" ref="B133">_xll.RssMarket(jpx400chart[[#This Row],[コード]],jpx400chart[[#Headers],[銘柄名称]])</f>
        <v>ＬＩＮＥヤフー</v>
      </c>
      <c r="C133" cm="1">
        <f t="array" ref="C133">_xll.RssMarket(jpx400chart[[#This Row],[コード]],jpx400chart[[#Headers],[現在値]])</f>
        <v>397.7</v>
      </c>
      <c r="D133" t="str">
        <f>"'[jpx400_data.xlsm]"&amp;jpx400chart[[#This Row],[コード]]&amp;"'!"&amp;"tbl"&amp;jpx400chart[[#This Row],[コード]]&amp;"_[#見出し]"</f>
        <v>'[jpx400_data.xlsm]4689'!tbl4689_[#見出し]</v>
      </c>
      <c r="E133" t="str" cm="1">
        <f t="array" ref="E133">_xll.RssChartPast(INDIRECT(jpx400chart[[#This Row],[ヘッダー行]]), jpx400chart[[#This Row],[コード]], "D",20160401,3000)</f>
        <v>=RssChartPast(INDIRECT([@ヘッダー行]), [@コード], "D",20160401,3000) =&gt; 完了</v>
      </c>
    </row>
    <row r="134" spans="1:5" x14ac:dyDescent="0.45">
      <c r="A134">
        <f>_400_j_pdf[[#This Row],[コード]]</f>
        <v>4704</v>
      </c>
      <c r="B134" t="str" cm="1">
        <f t="array" ref="B134">_xll.RssMarket(jpx400chart[[#This Row],[コード]],jpx400chart[[#Headers],[銘柄名称]])</f>
        <v>トレンドマイクロ</v>
      </c>
      <c r="C134" cm="1">
        <f t="array" ref="C134">_xll.RssMarket(jpx400chart[[#This Row],[コード]],jpx400chart[[#Headers],[現在値]])</f>
        <v>6152</v>
      </c>
      <c r="D134" t="str">
        <f>"'[jpx400_data.xlsm]"&amp;jpx400chart[[#This Row],[コード]]&amp;"'!"&amp;"tbl"&amp;jpx400chart[[#This Row],[コード]]&amp;"_[#見出し]"</f>
        <v>'[jpx400_data.xlsm]4704'!tbl4704_[#見出し]</v>
      </c>
      <c r="E134" t="str" cm="1">
        <f t="array" ref="E134">_xll.RssChartPast(INDIRECT(jpx400chart[[#This Row],[ヘッダー行]]), jpx400chart[[#This Row],[コード]], "D",20160401,3000)</f>
        <v>=RssChartPast(INDIRECT([@ヘッダー行]), [@コード], "D",20160401,3000) =&gt; 完了</v>
      </c>
    </row>
    <row r="135" spans="1:5" x14ac:dyDescent="0.45">
      <c r="A135">
        <f>_400_j_pdf[[#This Row],[コード]]</f>
        <v>4716</v>
      </c>
      <c r="B135" t="str" cm="1">
        <f t="array" ref="B135">_xll.RssMarket(jpx400chart[[#This Row],[コード]],jpx400chart[[#Headers],[銘柄名称]])</f>
        <v>日本オラクル</v>
      </c>
      <c r="C135" cm="1">
        <f t="array" ref="C135">_xll.RssMarket(jpx400chart[[#This Row],[コード]],jpx400chart[[#Headers],[現在値]])</f>
        <v>10825</v>
      </c>
      <c r="D135" t="str">
        <f>"'[jpx400_data.xlsm]"&amp;jpx400chart[[#This Row],[コード]]&amp;"'!"&amp;"tbl"&amp;jpx400chart[[#This Row],[コード]]&amp;"_[#見出し]"</f>
        <v>'[jpx400_data.xlsm]4716'!tbl4716_[#見出し]</v>
      </c>
      <c r="E135" t="str" cm="1">
        <f t="array" ref="E135">_xll.RssChartPast(INDIRECT(jpx400chart[[#This Row],[ヘッダー行]]), jpx400chart[[#This Row],[コード]], "D",20160401,3000)</f>
        <v>=RssChartPast(INDIRECT([@ヘッダー行]), [@コード], "D",20160401,3000) =&gt; 完了</v>
      </c>
    </row>
    <row r="136" spans="1:5" x14ac:dyDescent="0.45">
      <c r="A136">
        <f>_400_j_pdf[[#This Row],[コード]]</f>
        <v>4722</v>
      </c>
      <c r="B136" t="str" cm="1">
        <f t="array" ref="B136">_xll.RssMarket(jpx400chart[[#This Row],[コード]],jpx400chart[[#Headers],[銘柄名称]])</f>
        <v>フューチャー</v>
      </c>
      <c r="C136" cm="1">
        <f t="array" ref="C136">_xll.RssMarket(jpx400chart[[#This Row],[コード]],jpx400chart[[#Headers],[現在値]])</f>
        <v>1930</v>
      </c>
      <c r="D136" t="str">
        <f>"'[jpx400_data.xlsm]"&amp;jpx400chart[[#This Row],[コード]]&amp;"'!"&amp;"tbl"&amp;jpx400chart[[#This Row],[コード]]&amp;"_[#見出し]"</f>
        <v>'[jpx400_data.xlsm]4722'!tbl4722_[#見出し]</v>
      </c>
      <c r="E136" t="str" cm="1">
        <f t="array" ref="E136">_xll.RssChartPast(INDIRECT(jpx400chart[[#This Row],[ヘッダー行]]), jpx400chart[[#This Row],[コード]], "D",20160401,3000)</f>
        <v>=RssChartPast(INDIRECT([@ヘッダー行]), [@コード], "D",20160401,3000) =&gt; 完了</v>
      </c>
    </row>
    <row r="137" spans="1:5" x14ac:dyDescent="0.45">
      <c r="A137">
        <f>_400_j_pdf[[#This Row],[コード]]</f>
        <v>4732</v>
      </c>
      <c r="B137" t="str" cm="1">
        <f t="array" ref="B137">_xll.RssMarket(jpx400chart[[#This Row],[コード]],jpx400chart[[#Headers],[銘柄名称]])</f>
        <v>ユー・エス・エス</v>
      </c>
      <c r="C137" cm="1">
        <f t="array" ref="C137">_xll.RssMarket(jpx400chart[[#This Row],[コード]],jpx400chart[[#Headers],[現在値]])</f>
        <v>1719</v>
      </c>
      <c r="D137" t="str">
        <f>"'[jpx400_data.xlsm]"&amp;jpx400chart[[#This Row],[コード]]&amp;"'!"&amp;"tbl"&amp;jpx400chart[[#This Row],[コード]]&amp;"_[#見出し]"</f>
        <v>'[jpx400_data.xlsm]4732'!tbl4732_[#見出し]</v>
      </c>
      <c r="E137" t="str" cm="1">
        <f t="array" ref="E137">_xll.RssChartPast(INDIRECT(jpx400chart[[#This Row],[ヘッダー行]]), jpx400chart[[#This Row],[コード]], "D",20160401,3000)</f>
        <v>=RssChartPast(INDIRECT([@ヘッダー行]), [@コード], "D",20160401,3000) =&gt; 完了</v>
      </c>
    </row>
    <row r="138" spans="1:5" x14ac:dyDescent="0.45">
      <c r="A138">
        <f>_400_j_pdf[[#This Row],[コード]]</f>
        <v>4768</v>
      </c>
      <c r="B138" t="str" cm="1">
        <f t="array" ref="B138">_xll.RssMarket(jpx400chart[[#This Row],[コード]],jpx400chart[[#Headers],[銘柄名称]])</f>
        <v>大塚商会</v>
      </c>
      <c r="C138" cm="1">
        <f t="array" ref="C138">_xll.RssMarket(jpx400chart[[#This Row],[コード]],jpx400chart[[#Headers],[現在値]])</f>
        <v>3144</v>
      </c>
      <c r="D138" t="str">
        <f>"'[jpx400_data.xlsm]"&amp;jpx400chart[[#This Row],[コード]]&amp;"'!"&amp;"tbl"&amp;jpx400chart[[#This Row],[コード]]&amp;"_[#見出し]"</f>
        <v>'[jpx400_data.xlsm]4768'!tbl4768_[#見出し]</v>
      </c>
      <c r="E138" t="str" cm="1">
        <f t="array" ref="E138">_xll.RssChartPast(INDIRECT(jpx400chart[[#This Row],[ヘッダー行]]), jpx400chart[[#This Row],[コード]], "D",20160401,3000)</f>
        <v>=RssChartPast(INDIRECT([@ヘッダー行]), [@コード], "D",20160401,3000) =&gt; 完了</v>
      </c>
    </row>
    <row r="139" spans="1:5" x14ac:dyDescent="0.45">
      <c r="A139">
        <f>_400_j_pdf[[#This Row],[コード]]</f>
        <v>4812</v>
      </c>
      <c r="B139" t="str" cm="1">
        <f t="array" ref="B139">_xll.RssMarket(jpx400chart[[#This Row],[コード]],jpx400chart[[#Headers],[銘柄名称]])</f>
        <v>電通総研</v>
      </c>
      <c r="C139" cm="1">
        <f t="array" ref="C139">_xll.RssMarket(jpx400chart[[#This Row],[コード]],jpx400chart[[#Headers],[現在値]])</f>
        <v>2529</v>
      </c>
      <c r="D139" t="str">
        <f>"'[jpx400_data.xlsm]"&amp;jpx400chart[[#This Row],[コード]]&amp;"'!"&amp;"tbl"&amp;jpx400chart[[#This Row],[コード]]&amp;"_[#見出し]"</f>
        <v>'[jpx400_data.xlsm]4812'!tbl4812_[#見出し]</v>
      </c>
      <c r="E139" t="str" cm="1">
        <f t="array" ref="E139">_xll.RssChartPast(INDIRECT(jpx400chart[[#This Row],[ヘッダー行]]), jpx400chart[[#This Row],[コード]], "D",20160401,3000)</f>
        <v>=RssChartPast(INDIRECT([@ヘッダー行]), [@コード], "D",20160401,3000) =&gt; 完了</v>
      </c>
    </row>
    <row r="140" spans="1:5" x14ac:dyDescent="0.45">
      <c r="A140">
        <f>_400_j_pdf[[#This Row],[コード]]</f>
        <v>4816</v>
      </c>
      <c r="B140" t="str" cm="1">
        <f t="array" ref="B140">_xll.RssMarket(jpx400chart[[#This Row],[コード]],jpx400chart[[#Headers],[銘柄名称]])</f>
        <v>東映アニメーション</v>
      </c>
      <c r="C140" cm="1">
        <f t="array" ref="C140">_xll.RssMarket(jpx400chart[[#This Row],[コード]],jpx400chart[[#Headers],[現在値]])</f>
        <v>2678</v>
      </c>
      <c r="D140" t="str">
        <f>"'[jpx400_data.xlsm]"&amp;jpx400chart[[#This Row],[コード]]&amp;"'!"&amp;"tbl"&amp;jpx400chart[[#This Row],[コード]]&amp;"_[#見出し]"</f>
        <v>'[jpx400_data.xlsm]4816'!tbl4816_[#見出し]</v>
      </c>
      <c r="E140" t="str" cm="1">
        <f t="array" ref="E140">_xll.RssChartPast(INDIRECT(jpx400chart[[#This Row],[ヘッダー行]]), jpx400chart[[#This Row],[コード]], "D",20160401,3000)</f>
        <v>=RssChartPast(INDIRECT([@ヘッダー行]), [@コード], "D",20160401,3000) =&gt; 完了</v>
      </c>
    </row>
    <row r="141" spans="1:5" x14ac:dyDescent="0.45">
      <c r="A141">
        <f>_400_j_pdf[[#This Row],[コード]]</f>
        <v>4901</v>
      </c>
      <c r="B141" t="str" cm="1">
        <f t="array" ref="B141">_xll.RssMarket(jpx400chart[[#This Row],[コード]],jpx400chart[[#Headers],[銘柄名称]])</f>
        <v>富士フイルムＨＬＤＧＳ</v>
      </c>
      <c r="C141" cm="1">
        <f t="array" ref="C141">_xll.RssMarket(jpx400chart[[#This Row],[コード]],jpx400chart[[#Headers],[現在値]])</f>
        <v>3124</v>
      </c>
      <c r="D141" t="str">
        <f>"'[jpx400_data.xlsm]"&amp;jpx400chart[[#This Row],[コード]]&amp;"'!"&amp;"tbl"&amp;jpx400chart[[#This Row],[コード]]&amp;"_[#見出し]"</f>
        <v>'[jpx400_data.xlsm]4901'!tbl4901_[#見出し]</v>
      </c>
      <c r="E141" t="str" cm="1">
        <f t="array" ref="E141">_xll.RssChartPast(INDIRECT(jpx400chart[[#This Row],[ヘッダー行]]), jpx400chart[[#This Row],[コード]], "D",20160401,3000)</f>
        <v>=RssChartPast(INDIRECT([@ヘッダー行]), [@コード], "D",20160401,3000) =&gt; 完了</v>
      </c>
    </row>
    <row r="142" spans="1:5" x14ac:dyDescent="0.45">
      <c r="A142">
        <f>_400_j_pdf[[#This Row],[コード]]</f>
        <v>4912</v>
      </c>
      <c r="B142" t="str" cm="1">
        <f t="array" ref="B142">_xll.RssMarket(jpx400chart[[#This Row],[コード]],jpx400chart[[#Headers],[銘柄名称]])</f>
        <v>ライオン</v>
      </c>
      <c r="C142" cm="1">
        <f t="array" ref="C142">_xll.RssMarket(jpx400chart[[#This Row],[コード]],jpx400chart[[#Headers],[現在値]])</f>
        <v>1688.5</v>
      </c>
      <c r="D142" t="str">
        <f>"'[jpx400_data.xlsm]"&amp;jpx400chart[[#This Row],[コード]]&amp;"'!"&amp;"tbl"&amp;jpx400chart[[#This Row],[コード]]&amp;"_[#見出し]"</f>
        <v>'[jpx400_data.xlsm]4912'!tbl4912_[#見出し]</v>
      </c>
      <c r="E142" t="str" cm="1">
        <f t="array" ref="E142">_xll.RssChartPast(INDIRECT(jpx400chart[[#This Row],[ヘッダー行]]), jpx400chart[[#This Row],[コード]], "D",20160401,3000)</f>
        <v>=RssChartPast(INDIRECT([@ヘッダー行]), [@コード], "D",20160401,3000) =&gt; 完了</v>
      </c>
    </row>
    <row r="143" spans="1:5" x14ac:dyDescent="0.45">
      <c r="A143">
        <f>_400_j_pdf[[#This Row],[コード]]</f>
        <v>4967</v>
      </c>
      <c r="B143" t="str" cm="1">
        <f t="array" ref="B143">_xll.RssMarket(jpx400chart[[#This Row],[コード]],jpx400chart[[#Headers],[銘柄名称]])</f>
        <v>小林製薬</v>
      </c>
      <c r="C143" cm="1">
        <f t="array" ref="C143">_xll.RssMarket(jpx400chart[[#This Row],[コード]],jpx400chart[[#Headers],[現在値]])</f>
        <v>5489</v>
      </c>
      <c r="D143" t="str">
        <f>"'[jpx400_data.xlsm]"&amp;jpx400chart[[#This Row],[コード]]&amp;"'!"&amp;"tbl"&amp;jpx400chart[[#This Row],[コード]]&amp;"_[#見出し]"</f>
        <v>'[jpx400_data.xlsm]4967'!tbl4967_[#見出し]</v>
      </c>
      <c r="E143" t="str" cm="1">
        <f t="array" ref="E143">_xll.RssChartPast(INDIRECT(jpx400chart[[#This Row],[ヘッダー行]]), jpx400chart[[#This Row],[コード]], "D",20160401,3000)</f>
        <v>=RssChartPast(INDIRECT([@ヘッダー行]), [@コード], "D",20160401,3000) =&gt; 完了</v>
      </c>
    </row>
    <row r="144" spans="1:5" x14ac:dyDescent="0.45">
      <c r="A144">
        <f>_400_j_pdf[[#This Row],[コード]]</f>
        <v>4980</v>
      </c>
      <c r="B144" t="str" cm="1">
        <f t="array" ref="B144">_xll.RssMarket(jpx400chart[[#This Row],[コード]],jpx400chart[[#Headers],[銘柄名称]])</f>
        <v>デクセリアルズ</v>
      </c>
      <c r="C144" cm="1">
        <f t="array" ref="C144">_xll.RssMarket(jpx400chart[[#This Row],[コード]],jpx400chart[[#Headers],[現在値]])</f>
        <v>2792.5</v>
      </c>
      <c r="D144" t="str">
        <f>"'[jpx400_data.xlsm]"&amp;jpx400chart[[#This Row],[コード]]&amp;"'!"&amp;"tbl"&amp;jpx400chart[[#This Row],[コード]]&amp;"_[#見出し]"</f>
        <v>'[jpx400_data.xlsm]4980'!tbl4980_[#見出し]</v>
      </c>
      <c r="E144" t="str" cm="1">
        <f t="array" ref="E144">_xll.RssChartPast(INDIRECT(jpx400chart[[#This Row],[ヘッダー行]]), jpx400chart[[#This Row],[コード]], "D",20160401,3000)</f>
        <v>=RssChartPast(INDIRECT([@ヘッダー行]), [@コード], "D",20160401,3000) =&gt; 完了</v>
      </c>
    </row>
    <row r="145" spans="1:5" x14ac:dyDescent="0.45">
      <c r="A145">
        <f>_400_j_pdf[[#This Row],[コード]]</f>
        <v>5019</v>
      </c>
      <c r="B145" t="str" cm="1">
        <f t="array" ref="B145">_xll.RssMarket(jpx400chart[[#This Row],[コード]],jpx400chart[[#Headers],[銘柄名称]])</f>
        <v>出光興産</v>
      </c>
      <c r="C145" cm="1">
        <f t="array" ref="C145">_xll.RssMarket(jpx400chart[[#This Row],[コード]],jpx400chart[[#Headers],[現在値]])</f>
        <v>1280</v>
      </c>
      <c r="D145" t="str">
        <f>"'[jpx400_data.xlsm]"&amp;jpx400chart[[#This Row],[コード]]&amp;"'!"&amp;"tbl"&amp;jpx400chart[[#This Row],[コード]]&amp;"_[#見出し]"</f>
        <v>'[jpx400_data.xlsm]5019'!tbl5019_[#見出し]</v>
      </c>
      <c r="E145" t="str" cm="1">
        <f t="array" ref="E145">_xll.RssChartPast(INDIRECT(jpx400chart[[#This Row],[ヘッダー行]]), jpx400chart[[#This Row],[コード]], "D",20160401,3000)</f>
        <v>=RssChartPast(INDIRECT([@ヘッダー行]), [@コード], "D",20160401,3000) =&gt; 完了</v>
      </c>
    </row>
    <row r="146" spans="1:5" x14ac:dyDescent="0.45">
      <c r="A146">
        <f>_400_j_pdf[[#This Row],[コード]]</f>
        <v>5020</v>
      </c>
      <c r="B146" t="str" cm="1">
        <f t="array" ref="B146">_xll.RssMarket(jpx400chart[[#This Row],[コード]],jpx400chart[[#Headers],[銘柄名称]])</f>
        <v>ＥＮＥＯＳホールディングス</v>
      </c>
      <c r="C146" cm="1">
        <f t="array" ref="C146">_xll.RssMarket(jpx400chart[[#This Row],[コード]],jpx400chart[[#Headers],[現在値]])</f>
        <v>1244</v>
      </c>
      <c r="D146" t="str">
        <f>"'[jpx400_data.xlsm]"&amp;jpx400chart[[#This Row],[コード]]&amp;"'!"&amp;"tbl"&amp;jpx400chart[[#This Row],[コード]]&amp;"_[#見出し]"</f>
        <v>'[jpx400_data.xlsm]5020'!tbl5020_[#見出し]</v>
      </c>
      <c r="E146" t="str" cm="1">
        <f t="array" ref="E146">_xll.RssChartPast(INDIRECT(jpx400chart[[#This Row],[ヘッダー行]]), jpx400chart[[#This Row],[コード]], "D",20160401,3000)</f>
        <v>=RssChartPast(INDIRECT([@ヘッダー行]), [@コード], "D",20160401,3000) =&gt; 完了</v>
      </c>
    </row>
    <row r="147" spans="1:5" x14ac:dyDescent="0.45">
      <c r="A147">
        <f>_400_j_pdf[[#This Row],[コード]]</f>
        <v>5021</v>
      </c>
      <c r="B147" t="str" cm="1">
        <f t="array" ref="B147">_xll.RssMarket(jpx400chart[[#This Row],[コード]],jpx400chart[[#Headers],[銘柄名称]])</f>
        <v>コスモエネルギーＨＬＤＧＳ</v>
      </c>
      <c r="C147" cm="1">
        <f t="array" ref="C147">_xll.RssMarket(jpx400chart[[#This Row],[コード]],jpx400chart[[#Headers],[現在値]])</f>
        <v>4525</v>
      </c>
      <c r="D147" t="str">
        <f>"'[jpx400_data.xlsm]"&amp;jpx400chart[[#This Row],[コード]]&amp;"'!"&amp;"tbl"&amp;jpx400chart[[#This Row],[コード]]&amp;"_[#見出し]"</f>
        <v>'[jpx400_data.xlsm]5021'!tbl5021_[#見出し]</v>
      </c>
      <c r="E147" t="str" cm="1">
        <f t="array" ref="E147">_xll.RssChartPast(INDIRECT(jpx400chart[[#This Row],[ヘッダー行]]), jpx400chart[[#This Row],[コード]], "D",20160401,3000)</f>
        <v>=RssChartPast(INDIRECT([@ヘッダー行]), [@コード], "D",20160401,3000) =&gt; 完了</v>
      </c>
    </row>
    <row r="148" spans="1:5" x14ac:dyDescent="0.45">
      <c r="A148">
        <f>_400_j_pdf[[#This Row],[コード]]</f>
        <v>5032</v>
      </c>
      <c r="B148" t="str" cm="1">
        <f t="array" ref="B148">_xll.RssMarket(jpx400chart[[#This Row],[コード]],jpx400chart[[#Headers],[銘柄名称]])</f>
        <v>ＡＮＹＣＯＬＯＲ</v>
      </c>
      <c r="C148" cm="1">
        <f t="array" ref="C148">_xll.RssMarket(jpx400chart[[#This Row],[コード]],jpx400chart[[#Headers],[現在値]])</f>
        <v>4485</v>
      </c>
      <c r="D148" t="str">
        <f>"'[jpx400_data.xlsm]"&amp;jpx400chart[[#This Row],[コード]]&amp;"'!"&amp;"tbl"&amp;jpx400chart[[#This Row],[コード]]&amp;"_[#見出し]"</f>
        <v>'[jpx400_data.xlsm]5032'!tbl5032_[#見出し]</v>
      </c>
      <c r="E148" t="str" cm="1">
        <f t="array" ref="E148">_xll.RssChartPast(INDIRECT(jpx400chart[[#This Row],[ヘッダー行]]), jpx400chart[[#This Row],[コード]], "D",20160401,3000)</f>
        <v>=RssChartPast(INDIRECT([@ヘッダー行]), [@コード], "D",20160401,3000) =&gt; 完了</v>
      </c>
    </row>
    <row r="149" spans="1:5" x14ac:dyDescent="0.45">
      <c r="A149">
        <f>_400_j_pdf[[#This Row],[コード]]</f>
        <v>5076</v>
      </c>
      <c r="B149" t="str" cm="1">
        <f t="array" ref="B149">_xll.RssMarket(jpx400chart[[#This Row],[コード]],jpx400chart[[#Headers],[銘柄名称]])</f>
        <v>インフロニアＨＤ</v>
      </c>
      <c r="C149" cm="1">
        <f t="array" ref="C149">_xll.RssMarket(jpx400chart[[#This Row],[コード]],jpx400chart[[#Headers],[現在値]])</f>
        <v>2327</v>
      </c>
      <c r="D149" t="str">
        <f>"'[jpx400_data.xlsm]"&amp;jpx400chart[[#This Row],[コード]]&amp;"'!"&amp;"tbl"&amp;jpx400chart[[#This Row],[コード]]&amp;"_[#見出し]"</f>
        <v>'[jpx400_data.xlsm]5076'!tbl5076_[#見出し]</v>
      </c>
      <c r="E149" t="str" cm="1">
        <f t="array" ref="E149">_xll.RssChartPast(INDIRECT(jpx400chart[[#This Row],[ヘッダー行]]), jpx400chart[[#This Row],[コード]], "D",20160401,3000)</f>
        <v>=RssChartPast(INDIRECT([@ヘッダー行]), [@コード], "D",20160401,3000) =&gt; 完了</v>
      </c>
    </row>
    <row r="150" spans="1:5" x14ac:dyDescent="0.45">
      <c r="A150">
        <f>_400_j_pdf[[#This Row],[コード]]</f>
        <v>5101</v>
      </c>
      <c r="B150" t="str" cm="1">
        <f t="array" ref="B150">_xll.RssMarket(jpx400chart[[#This Row],[コード]],jpx400chart[[#Headers],[銘柄名称]])</f>
        <v>横浜ゴム</v>
      </c>
      <c r="C150" cm="1">
        <f t="array" ref="C150">_xll.RssMarket(jpx400chart[[#This Row],[コード]],jpx400chart[[#Headers],[現在値]])</f>
        <v>6185</v>
      </c>
      <c r="D150" t="str">
        <f>"'[jpx400_data.xlsm]"&amp;jpx400chart[[#This Row],[コード]]&amp;"'!"&amp;"tbl"&amp;jpx400chart[[#This Row],[コード]]&amp;"_[#見出し]"</f>
        <v>'[jpx400_data.xlsm]5101'!tbl5101_[#見出し]</v>
      </c>
      <c r="E150" t="str" cm="1">
        <f t="array" ref="E150">_xll.RssChartPast(INDIRECT(jpx400chart[[#This Row],[ヘッダー行]]), jpx400chart[[#This Row],[コード]], "D",20160401,3000)</f>
        <v>=RssChartPast(INDIRECT([@ヘッダー行]), [@コード], "D",20160401,3000) =&gt; 完了</v>
      </c>
    </row>
    <row r="151" spans="1:5" x14ac:dyDescent="0.45">
      <c r="A151">
        <f>_400_j_pdf[[#This Row],[コード]]</f>
        <v>5105</v>
      </c>
      <c r="B151" t="str" cm="1">
        <f t="array" ref="B151">_xll.RssMarket(jpx400chart[[#This Row],[コード]],jpx400chart[[#Headers],[銘柄名称]])</f>
        <v>ＴＯＹＯＴＩＲＥ</v>
      </c>
      <c r="C151" cm="1">
        <f t="array" ref="C151">_xll.RssMarket(jpx400chart[[#This Row],[コード]],jpx400chart[[#Headers],[現在値]])</f>
        <v>4233</v>
      </c>
      <c r="D151" t="str">
        <f>"'[jpx400_data.xlsm]"&amp;jpx400chart[[#This Row],[コード]]&amp;"'!"&amp;"tbl"&amp;jpx400chart[[#This Row],[コード]]&amp;"_[#見出し]"</f>
        <v>'[jpx400_data.xlsm]5105'!tbl5105_[#見出し]</v>
      </c>
      <c r="E151" t="str" cm="1">
        <f t="array" ref="E151">_xll.RssChartPast(INDIRECT(jpx400chart[[#This Row],[ヘッダー行]]), jpx400chart[[#This Row],[コード]], "D",20160401,3000)</f>
        <v>=RssChartPast(INDIRECT([@ヘッダー行]), [@コード], "D",20160401,3000) =&gt; 完了</v>
      </c>
    </row>
    <row r="152" spans="1:5" x14ac:dyDescent="0.45">
      <c r="A152">
        <f>_400_j_pdf[[#This Row],[コード]]</f>
        <v>5108</v>
      </c>
      <c r="B152" t="str" cm="1">
        <f t="array" ref="B152">_xll.RssMarket(jpx400chart[[#This Row],[コード]],jpx400chart[[#Headers],[銘柄名称]])</f>
        <v>ブリヂストン</v>
      </c>
      <c r="C152" cm="1">
        <f t="array" ref="C152">_xll.RssMarket(jpx400chart[[#This Row],[コード]],jpx400chart[[#Headers],[現在値]])</f>
        <v>3497</v>
      </c>
      <c r="D152" t="str">
        <f>"'[jpx400_data.xlsm]"&amp;jpx400chart[[#This Row],[コード]]&amp;"'!"&amp;"tbl"&amp;jpx400chart[[#This Row],[コード]]&amp;"_[#見出し]"</f>
        <v>'[jpx400_data.xlsm]5108'!tbl5108_[#見出し]</v>
      </c>
      <c r="E152" t="str" cm="1">
        <f t="array" ref="E152">_xll.RssChartPast(INDIRECT(jpx400chart[[#This Row],[ヘッダー行]]), jpx400chart[[#This Row],[コード]], "D",20160401,3000)</f>
        <v>=RssChartPast(INDIRECT([@ヘッダー行]), [@コード], "D",20160401,3000) =&gt; 完了</v>
      </c>
    </row>
    <row r="153" spans="1:5" x14ac:dyDescent="0.45">
      <c r="A153">
        <f>_400_j_pdf[[#This Row],[コード]]</f>
        <v>5332</v>
      </c>
      <c r="B153" t="str" cm="1">
        <f t="array" ref="B153">_xll.RssMarket(jpx400chart[[#This Row],[コード]],jpx400chart[[#Headers],[銘柄名称]])</f>
        <v>ＴＯＴＯ</v>
      </c>
      <c r="C153" cm="1">
        <f t="array" ref="C153">_xll.RssMarket(jpx400chart[[#This Row],[コード]],jpx400chart[[#Headers],[現在値]])</f>
        <v>5212</v>
      </c>
      <c r="D153" t="str">
        <f>"'[jpx400_data.xlsm]"&amp;jpx400chart[[#This Row],[コード]]&amp;"'!"&amp;"tbl"&amp;jpx400chart[[#This Row],[コード]]&amp;"_[#見出し]"</f>
        <v>'[jpx400_data.xlsm]5332'!tbl5332_[#見出し]</v>
      </c>
      <c r="E153" t="str" cm="1">
        <f t="array" ref="E153">_xll.RssChartPast(INDIRECT(jpx400chart[[#This Row],[ヘッダー行]]), jpx400chart[[#This Row],[コード]], "D",20160401,3000)</f>
        <v>=RssChartPast(INDIRECT([@ヘッダー行]), [@コード], "D",20160401,3000) =&gt; 完了</v>
      </c>
    </row>
    <row r="154" spans="1:5" x14ac:dyDescent="0.45">
      <c r="A154">
        <f>_400_j_pdf[[#This Row],[コード]]</f>
        <v>5333</v>
      </c>
      <c r="B154" t="str" cm="1">
        <f t="array" ref="B154">_xll.RssMarket(jpx400chart[[#This Row],[コード]],jpx400chart[[#Headers],[銘柄名称]])</f>
        <v>日本碍子</v>
      </c>
      <c r="C154" cm="1">
        <f t="array" ref="C154">_xll.RssMarket(jpx400chart[[#This Row],[コード]],jpx400chart[[#Headers],[現在値]])</f>
        <v>3786</v>
      </c>
      <c r="D154" t="str">
        <f>"'[jpx400_data.xlsm]"&amp;jpx400chart[[#This Row],[コード]]&amp;"'!"&amp;"tbl"&amp;jpx400chart[[#This Row],[コード]]&amp;"_[#見出し]"</f>
        <v>'[jpx400_data.xlsm]5333'!tbl5333_[#見出し]</v>
      </c>
      <c r="E154" t="str" cm="1">
        <f t="array" ref="E154">_xll.RssChartPast(INDIRECT(jpx400chart[[#This Row],[ヘッダー行]]), jpx400chart[[#This Row],[コード]], "D",20160401,3000)</f>
        <v>=RssChartPast(INDIRECT([@ヘッダー行]), [@コード], "D",20160401,3000) =&gt; 完了</v>
      </c>
    </row>
    <row r="155" spans="1:5" x14ac:dyDescent="0.45">
      <c r="A155">
        <f>_400_j_pdf[[#This Row],[コード]]</f>
        <v>5334</v>
      </c>
      <c r="B155" t="str" cm="1">
        <f t="array" ref="B155">_xll.RssMarket(jpx400chart[[#This Row],[コード]],jpx400chart[[#Headers],[銘柄名称]])</f>
        <v>日本特殊陶業</v>
      </c>
      <c r="C155" cm="1">
        <f t="array" ref="C155">_xll.RssMarket(jpx400chart[[#This Row],[コード]],jpx400chart[[#Headers],[現在値]])</f>
        <v>7022</v>
      </c>
      <c r="D155" t="str">
        <f>"'[jpx400_data.xlsm]"&amp;jpx400chart[[#This Row],[コード]]&amp;"'!"&amp;"tbl"&amp;jpx400chart[[#This Row],[コード]]&amp;"_[#見出し]"</f>
        <v>'[jpx400_data.xlsm]5334'!tbl5334_[#見出し]</v>
      </c>
      <c r="E155" t="str" cm="1">
        <f t="array" ref="E155">_xll.RssChartPast(INDIRECT(jpx400chart[[#This Row],[ヘッダー行]]), jpx400chart[[#This Row],[コード]], "D",20160401,3000)</f>
        <v>=RssChartPast(INDIRECT([@ヘッダー行]), [@コード], "D",20160401,3000) =&gt; 完了</v>
      </c>
    </row>
    <row r="156" spans="1:5" x14ac:dyDescent="0.45">
      <c r="A156">
        <f>_400_j_pdf[[#This Row],[コード]]</f>
        <v>5344</v>
      </c>
      <c r="B156" t="str" cm="1">
        <f t="array" ref="B156">_xll.RssMarket(jpx400chart[[#This Row],[コード]],jpx400chart[[#Headers],[銘柄名称]])</f>
        <v>ＭＡＲＵＷＡ</v>
      </c>
      <c r="C156" cm="1">
        <f t="array" ref="C156">_xll.RssMarket(jpx400chart[[#This Row],[コード]],jpx400chart[[#Headers],[現在値]])</f>
        <v>49130</v>
      </c>
      <c r="D156" t="str">
        <f>"'[jpx400_data.xlsm]"&amp;jpx400chart[[#This Row],[コード]]&amp;"'!"&amp;"tbl"&amp;jpx400chart[[#This Row],[コード]]&amp;"_[#見出し]"</f>
        <v>'[jpx400_data.xlsm]5344'!tbl5344_[#見出し]</v>
      </c>
      <c r="E156" t="str" cm="1">
        <f t="array" ref="E156">_xll.RssChartPast(INDIRECT(jpx400chart[[#This Row],[ヘッダー行]]), jpx400chart[[#This Row],[コード]], "D",20160401,3000)</f>
        <v>=RssChartPast(INDIRECT([@ヘッダー行]), [@コード], "D",20160401,3000) =&gt; 完了</v>
      </c>
    </row>
    <row r="157" spans="1:5" x14ac:dyDescent="0.45">
      <c r="A157">
        <f>_400_j_pdf[[#This Row],[コード]]</f>
        <v>5393</v>
      </c>
      <c r="B157" t="str" cm="1">
        <f t="array" ref="B157">_xll.RssMarket(jpx400chart[[#This Row],[コード]],jpx400chart[[#Headers],[銘柄名称]])</f>
        <v>ニチアス</v>
      </c>
      <c r="C157" cm="1">
        <f t="array" ref="C157">_xll.RssMarket(jpx400chart[[#This Row],[コード]],jpx400chart[[#Headers],[現在値]])</f>
        <v>7961</v>
      </c>
      <c r="D157" t="str">
        <f>"'[jpx400_data.xlsm]"&amp;jpx400chart[[#This Row],[コード]]&amp;"'!"&amp;"tbl"&amp;jpx400chart[[#This Row],[コード]]&amp;"_[#見出し]"</f>
        <v>'[jpx400_data.xlsm]5393'!tbl5393_[#見出し]</v>
      </c>
      <c r="E157" t="str" cm="1">
        <f t="array" ref="E157">_xll.RssChartPast(INDIRECT(jpx400chart[[#This Row],[ヘッダー行]]), jpx400chart[[#This Row],[コード]], "D",20160401,3000)</f>
        <v>=RssChartPast(INDIRECT([@ヘッダー行]), [@コード], "D",20160401,3000) =&gt; 完了</v>
      </c>
    </row>
    <row r="158" spans="1:5" x14ac:dyDescent="0.45">
      <c r="A158">
        <f>_400_j_pdf[[#This Row],[コード]]</f>
        <v>5401</v>
      </c>
      <c r="B158" t="str" cm="1">
        <f t="array" ref="B158">_xll.RssMarket(jpx400chart[[#This Row],[コード]],jpx400chart[[#Headers],[銘柄名称]])</f>
        <v>日本製鉄</v>
      </c>
      <c r="C158" cm="1">
        <f t="array" ref="C158">_xll.RssMarket(jpx400chart[[#This Row],[コード]],jpx400chart[[#Headers],[現在値]])</f>
        <v>647.79999999999995</v>
      </c>
      <c r="D158" t="str">
        <f>"'[jpx400_data.xlsm]"&amp;jpx400chart[[#This Row],[コード]]&amp;"'!"&amp;"tbl"&amp;jpx400chart[[#This Row],[コード]]&amp;"_[#見出し]"</f>
        <v>'[jpx400_data.xlsm]5401'!tbl5401_[#見出し]</v>
      </c>
      <c r="E158" t="str" cm="1">
        <f t="array" ref="E158">_xll.RssChartPast(INDIRECT(jpx400chart[[#This Row],[ヘッダー行]]), jpx400chart[[#This Row],[コード]], "D",20160401,3000)</f>
        <v>=RssChartPast(INDIRECT([@ヘッダー行]), [@コード], "D",20160401,3000) =&gt; 完了</v>
      </c>
    </row>
    <row r="159" spans="1:5" x14ac:dyDescent="0.45">
      <c r="A159">
        <f>_400_j_pdf[[#This Row],[コード]]</f>
        <v>5406</v>
      </c>
      <c r="B159" t="str" cm="1">
        <f t="array" ref="B159">_xll.RssMarket(jpx400chart[[#This Row],[コード]],jpx400chart[[#Headers],[銘柄名称]])</f>
        <v>神戸製鋼所</v>
      </c>
      <c r="C159" cm="1">
        <f t="array" ref="C159">_xll.RssMarket(jpx400chart[[#This Row],[コード]],jpx400chart[[#Headers],[現在値]])</f>
        <v>2262</v>
      </c>
      <c r="D159" t="str">
        <f>"'[jpx400_data.xlsm]"&amp;jpx400chart[[#This Row],[コード]]&amp;"'!"&amp;"tbl"&amp;jpx400chart[[#This Row],[コード]]&amp;"_[#見出し]"</f>
        <v>'[jpx400_data.xlsm]5406'!tbl5406_[#見出し]</v>
      </c>
      <c r="E159" t="str" cm="1">
        <f t="array" ref="E159">_xll.RssChartPast(INDIRECT(jpx400chart[[#This Row],[ヘッダー行]]), jpx400chart[[#This Row],[コード]], "D",20160401,3000)</f>
        <v>=RssChartPast(INDIRECT([@ヘッダー行]), [@コード], "D",20160401,3000) =&gt; 完了</v>
      </c>
    </row>
    <row r="160" spans="1:5" x14ac:dyDescent="0.45">
      <c r="A160">
        <f>_400_j_pdf[[#This Row],[コード]]</f>
        <v>5411</v>
      </c>
      <c r="B160" t="str" cm="1">
        <f t="array" ref="B160">_xll.RssMarket(jpx400chart[[#This Row],[コード]],jpx400chart[[#Headers],[銘柄名称]])</f>
        <v>ＪＦＥホールディングス</v>
      </c>
      <c r="C160" cm="1">
        <f t="array" ref="C160">_xll.RssMarket(jpx400chart[[#This Row],[コード]],jpx400chart[[#Headers],[現在値]])</f>
        <v>2116.5</v>
      </c>
      <c r="D160" t="str">
        <f>"'[jpx400_data.xlsm]"&amp;jpx400chart[[#This Row],[コード]]&amp;"'!"&amp;"tbl"&amp;jpx400chart[[#This Row],[コード]]&amp;"_[#見出し]"</f>
        <v>'[jpx400_data.xlsm]5411'!tbl5411_[#見出し]</v>
      </c>
      <c r="E160" t="str" cm="1">
        <f t="array" ref="E160">_xll.RssChartPast(INDIRECT(jpx400chart[[#This Row],[ヘッダー行]]), jpx400chart[[#This Row],[コード]], "D",20160401,3000)</f>
        <v>=RssChartPast(INDIRECT([@ヘッダー行]), [@コード], "D",20160401,3000) =&gt; 完了</v>
      </c>
    </row>
    <row r="161" spans="1:5" x14ac:dyDescent="0.45">
      <c r="A161">
        <f>_400_j_pdf[[#This Row],[コード]]</f>
        <v>5423</v>
      </c>
      <c r="B161" t="str" cm="1">
        <f t="array" ref="B161">_xll.RssMarket(jpx400chart[[#This Row],[コード]],jpx400chart[[#Headers],[銘柄名称]])</f>
        <v>東京製鐵</v>
      </c>
      <c r="C161" cm="1">
        <f t="array" ref="C161">_xll.RssMarket(jpx400chart[[#This Row],[コード]],jpx400chart[[#Headers],[現在値]])</f>
        <v>1517</v>
      </c>
      <c r="D161" t="str">
        <f>"'[jpx400_data.xlsm]"&amp;jpx400chart[[#This Row],[コード]]&amp;"'!"&amp;"tbl"&amp;jpx400chart[[#This Row],[コード]]&amp;"_[#見出し]"</f>
        <v>'[jpx400_data.xlsm]5423'!tbl5423_[#見出し]</v>
      </c>
      <c r="E161" t="str" cm="1">
        <f t="array" ref="E161">_xll.RssChartPast(INDIRECT(jpx400chart[[#This Row],[ヘッダー行]]), jpx400chart[[#This Row],[コード]], "D",20160401,3000)</f>
        <v>=RssChartPast(INDIRECT([@ヘッダー行]), [@コード], "D",20160401,3000) =&gt; 完了</v>
      </c>
    </row>
    <row r="162" spans="1:5" x14ac:dyDescent="0.45">
      <c r="A162">
        <f>_400_j_pdf[[#This Row],[コード]]</f>
        <v>5444</v>
      </c>
      <c r="B162" t="str" cm="1">
        <f t="array" ref="B162">_xll.RssMarket(jpx400chart[[#This Row],[コード]],jpx400chart[[#Headers],[銘柄名称]])</f>
        <v>大和工業</v>
      </c>
      <c r="C162" cm="1">
        <f t="array" ref="C162">_xll.RssMarket(jpx400chart[[#This Row],[コード]],jpx400chart[[#Headers],[現在値]])</f>
        <v>11585</v>
      </c>
      <c r="D162" t="str">
        <f>"'[jpx400_data.xlsm]"&amp;jpx400chart[[#This Row],[コード]]&amp;"'!"&amp;"tbl"&amp;jpx400chart[[#This Row],[コード]]&amp;"_[#見出し]"</f>
        <v>'[jpx400_data.xlsm]5444'!tbl5444_[#見出し]</v>
      </c>
      <c r="E162" t="str" cm="1">
        <f t="array" ref="E162">_xll.RssChartPast(INDIRECT(jpx400chart[[#This Row],[ヘッダー行]]), jpx400chart[[#This Row],[コード]], "D",20160401,3000)</f>
        <v>=RssChartPast(INDIRECT([@ヘッダー行]), [@コード], "D",20160401,3000) =&gt; 完了</v>
      </c>
    </row>
    <row r="163" spans="1:5" x14ac:dyDescent="0.45">
      <c r="A163">
        <f>_400_j_pdf[[#This Row],[コード]]</f>
        <v>5471</v>
      </c>
      <c r="B163" t="str" cm="1">
        <f t="array" ref="B163">_xll.RssMarket(jpx400chart[[#This Row],[コード]],jpx400chart[[#Headers],[銘柄名称]])</f>
        <v>大同特殊鋼</v>
      </c>
      <c r="C163" cm="1">
        <f t="array" ref="C163">_xll.RssMarket(jpx400chart[[#This Row],[コード]],jpx400chart[[#Headers],[現在値]])</f>
        <v>2010</v>
      </c>
      <c r="D163" t="str">
        <f>"'[jpx400_data.xlsm]"&amp;jpx400chart[[#This Row],[コード]]&amp;"'!"&amp;"tbl"&amp;jpx400chart[[#This Row],[コード]]&amp;"_[#見出し]"</f>
        <v>'[jpx400_data.xlsm]5471'!tbl5471_[#見出し]</v>
      </c>
      <c r="E163" t="str" cm="1">
        <f t="array" ref="E163">_xll.RssChartPast(INDIRECT(jpx400chart[[#This Row],[ヘッダー行]]), jpx400chart[[#This Row],[コード]], "D",20160401,3000)</f>
        <v>=RssChartPast(INDIRECT([@ヘッダー行]), [@コード], "D",20160401,3000) =&gt; 完了</v>
      </c>
    </row>
    <row r="164" spans="1:5" x14ac:dyDescent="0.45">
      <c r="A164">
        <f>_400_j_pdf[[#This Row],[コード]]</f>
        <v>5480</v>
      </c>
      <c r="B164" t="str" cm="1">
        <f t="array" ref="B164">_xll.RssMarket(jpx400chart[[#This Row],[コード]],jpx400chart[[#Headers],[銘柄名称]])</f>
        <v>日本冶金工</v>
      </c>
      <c r="C164" cm="1">
        <f t="array" ref="C164">_xll.RssMarket(jpx400chart[[#This Row],[コード]],jpx400chart[[#Headers],[現在値]])</f>
        <v>4805</v>
      </c>
      <c r="D164" t="str">
        <f>"'[jpx400_data.xlsm]"&amp;jpx400chart[[#This Row],[コード]]&amp;"'!"&amp;"tbl"&amp;jpx400chart[[#This Row],[コード]]&amp;"_[#見出し]"</f>
        <v>'[jpx400_data.xlsm]5480'!tbl5480_[#見出し]</v>
      </c>
      <c r="E164" t="str" cm="1">
        <f t="array" ref="E164">_xll.RssChartPast(INDIRECT(jpx400chart[[#This Row],[ヘッダー行]]), jpx400chart[[#This Row],[コード]], "D",20160401,3000)</f>
        <v>=RssChartPast(INDIRECT([@ヘッダー行]), [@コード], "D",20160401,3000) =&gt; 完了</v>
      </c>
    </row>
    <row r="165" spans="1:5" x14ac:dyDescent="0.45">
      <c r="A165">
        <f>_400_j_pdf[[#This Row],[コード]]</f>
        <v>5706</v>
      </c>
      <c r="B165" t="str" cm="1">
        <f t="array" ref="B165">_xll.RssMarket(jpx400chart[[#This Row],[コード]],jpx400chart[[#Headers],[銘柄名称]])</f>
        <v>三井金属</v>
      </c>
      <c r="C165" cm="1">
        <f t="array" ref="C165">_xll.RssMarket(jpx400chart[[#This Row],[コード]],jpx400chart[[#Headers],[現在値]])</f>
        <v>21900</v>
      </c>
      <c r="D165" t="str">
        <f>"'[jpx400_data.xlsm]"&amp;jpx400chart[[#This Row],[コード]]&amp;"'!"&amp;"tbl"&amp;jpx400chart[[#This Row],[コード]]&amp;"_[#見出し]"</f>
        <v>'[jpx400_data.xlsm]5706'!tbl5706_[#見出し]</v>
      </c>
      <c r="E165" t="str" cm="1">
        <f t="array" ref="E165">_xll.RssChartPast(INDIRECT(jpx400chart[[#This Row],[ヘッダー行]]), jpx400chart[[#This Row],[コード]], "D",20160401,3000)</f>
        <v>=RssChartPast(INDIRECT([@ヘッダー行]), [@コード], "D",20160401,3000) =&gt; 完了</v>
      </c>
    </row>
    <row r="166" spans="1:5" x14ac:dyDescent="0.45">
      <c r="A166">
        <f>_400_j_pdf[[#This Row],[コード]]</f>
        <v>5713</v>
      </c>
      <c r="B166" t="str" cm="1">
        <f t="array" ref="B166">_xll.RssMarket(jpx400chart[[#This Row],[コード]],jpx400chart[[#Headers],[銘柄名称]])</f>
        <v>住友鉱山</v>
      </c>
      <c r="C166" cm="1">
        <f t="array" ref="C166">_xll.RssMarket(jpx400chart[[#This Row],[コード]],jpx400chart[[#Headers],[現在値]])</f>
        <v>8788</v>
      </c>
      <c r="D166" t="str">
        <f>"'[jpx400_data.xlsm]"&amp;jpx400chart[[#This Row],[コード]]&amp;"'!"&amp;"tbl"&amp;jpx400chart[[#This Row],[コード]]&amp;"_[#見出し]"</f>
        <v>'[jpx400_data.xlsm]5713'!tbl5713_[#見出し]</v>
      </c>
      <c r="E166" t="str" cm="1">
        <f t="array" ref="E166">_xll.RssChartPast(INDIRECT(jpx400chart[[#This Row],[ヘッダー行]]), jpx400chart[[#This Row],[コード]], "D",20160401,3000)</f>
        <v>=RssChartPast(INDIRECT([@ヘッダー行]), [@コード], "D",20160401,3000) =&gt; 完了</v>
      </c>
    </row>
    <row r="167" spans="1:5" x14ac:dyDescent="0.45">
      <c r="A167">
        <f>_400_j_pdf[[#This Row],[コード]]</f>
        <v>5714</v>
      </c>
      <c r="B167" t="str" cm="1">
        <f t="array" ref="B167">_xll.RssMarket(jpx400chart[[#This Row],[コード]],jpx400chart[[#Headers],[銘柄名称]])</f>
        <v>ＤＯＷＡホールディングス</v>
      </c>
      <c r="C167" cm="1">
        <f t="array" ref="C167">_xll.RssMarket(jpx400chart[[#This Row],[コード]],jpx400chart[[#Headers],[現在値]])</f>
        <v>9315</v>
      </c>
      <c r="D167" t="str">
        <f>"'[jpx400_data.xlsm]"&amp;jpx400chart[[#This Row],[コード]]&amp;"'!"&amp;"tbl"&amp;jpx400chart[[#This Row],[コード]]&amp;"_[#見出し]"</f>
        <v>'[jpx400_data.xlsm]5714'!tbl5714_[#見出し]</v>
      </c>
      <c r="E167" t="str" cm="1">
        <f t="array" ref="E167">_xll.RssChartPast(INDIRECT(jpx400chart[[#This Row],[ヘッダー行]]), jpx400chart[[#This Row],[コード]], "D",20160401,3000)</f>
        <v>=RssChartPast(INDIRECT([@ヘッダー行]), [@コード], "D",20160401,3000) =&gt; 完了</v>
      </c>
    </row>
    <row r="168" spans="1:5" x14ac:dyDescent="0.45">
      <c r="A168">
        <f>_400_j_pdf[[#This Row],[コード]]</f>
        <v>5802</v>
      </c>
      <c r="B168" t="str" cm="1">
        <f t="array" ref="B168">_xll.RssMarket(jpx400chart[[#This Row],[コード]],jpx400chart[[#Headers],[銘柄名称]])</f>
        <v>住友電工</v>
      </c>
      <c r="C168" cm="1">
        <f t="array" ref="C168">_xll.RssMarket(jpx400chart[[#This Row],[コード]],jpx400chart[[#Headers],[現在値]])</f>
        <v>6679</v>
      </c>
      <c r="D168" t="str">
        <f>"'[jpx400_data.xlsm]"&amp;jpx400chart[[#This Row],[コード]]&amp;"'!"&amp;"tbl"&amp;jpx400chart[[#This Row],[コード]]&amp;"_[#見出し]"</f>
        <v>'[jpx400_data.xlsm]5802'!tbl5802_[#見出し]</v>
      </c>
      <c r="E168" t="str" cm="1">
        <f t="array" ref="E168">_xll.RssChartPast(INDIRECT(jpx400chart[[#This Row],[ヘッダー行]]), jpx400chart[[#This Row],[コード]], "D",20160401,3000)</f>
        <v>=RssChartPast(INDIRECT([@ヘッダー行]), [@コード], "D",20160401,3000) =&gt; 完了</v>
      </c>
    </row>
    <row r="169" spans="1:5" x14ac:dyDescent="0.45">
      <c r="A169">
        <f>_400_j_pdf[[#This Row],[コード]]</f>
        <v>5803</v>
      </c>
      <c r="B169" t="str" cm="1">
        <f t="array" ref="B169">_xll.RssMarket(jpx400chart[[#This Row],[コード]],jpx400chart[[#Headers],[銘柄名称]])</f>
        <v>フジクラ</v>
      </c>
      <c r="C169" cm="1">
        <f t="array" ref="C169">_xll.RssMarket(jpx400chart[[#This Row],[コード]],jpx400chart[[#Headers],[現在値]])</f>
        <v>18370</v>
      </c>
      <c r="D169" t="str">
        <f>"'[jpx400_data.xlsm]"&amp;jpx400chart[[#This Row],[コード]]&amp;"'!"&amp;"tbl"&amp;jpx400chart[[#This Row],[コード]]&amp;"_[#見出し]"</f>
        <v>'[jpx400_data.xlsm]5803'!tbl5803_[#見出し]</v>
      </c>
      <c r="E169" t="str" cm="1">
        <f t="array" ref="E169">_xll.RssChartPast(INDIRECT(jpx400chart[[#This Row],[ヘッダー行]]), jpx400chart[[#This Row],[コード]], "D",20160401,3000)</f>
        <v>=RssChartPast(INDIRECT([@ヘッダー行]), [@コード], "D",20160401,3000) =&gt; 完了</v>
      </c>
    </row>
    <row r="170" spans="1:5" x14ac:dyDescent="0.45">
      <c r="A170">
        <f>_400_j_pdf[[#This Row],[コード]]</f>
        <v>5805</v>
      </c>
      <c r="B170" t="str" cm="1">
        <f t="array" ref="B170">_xll.RssMarket(jpx400chart[[#This Row],[コード]],jpx400chart[[#Headers],[銘柄名称]])</f>
        <v>ＳＷＣＣ</v>
      </c>
      <c r="C170" cm="1">
        <f t="array" ref="C170">_xll.RssMarket(jpx400chart[[#This Row],[コード]],jpx400chart[[#Headers],[現在値]])</f>
        <v>11510</v>
      </c>
      <c r="D170" t="str">
        <f>"'[jpx400_data.xlsm]"&amp;jpx400chart[[#This Row],[コード]]&amp;"'!"&amp;"tbl"&amp;jpx400chart[[#This Row],[コード]]&amp;"_[#見出し]"</f>
        <v>'[jpx400_data.xlsm]5805'!tbl5805_[#見出し]</v>
      </c>
      <c r="E170" t="str" cm="1">
        <f t="array" ref="E170">_xll.RssChartPast(INDIRECT(jpx400chart[[#This Row],[ヘッダー行]]), jpx400chart[[#This Row],[コード]], "D",20160401,3000)</f>
        <v>=RssChartPast(INDIRECT([@ヘッダー行]), [@コード], "D",20160401,3000) =&gt; 完了</v>
      </c>
    </row>
    <row r="171" spans="1:5" x14ac:dyDescent="0.45">
      <c r="A171">
        <f>_400_j_pdf[[#This Row],[コード]]</f>
        <v>5857</v>
      </c>
      <c r="B171" t="str" cm="1">
        <f t="array" ref="B171">_xll.RssMarket(jpx400chart[[#This Row],[コード]],jpx400chart[[#Headers],[銘柄名称]])</f>
        <v>ＡＲＥホールディングス</v>
      </c>
      <c r="C171" cm="1">
        <f t="array" ref="C171">_xll.RssMarket(jpx400chart[[#This Row],[コード]],jpx400chart[[#Headers],[現在値]])</f>
        <v>3820</v>
      </c>
      <c r="D171" t="str">
        <f>"'[jpx400_data.xlsm]"&amp;jpx400chart[[#This Row],[コード]]&amp;"'!"&amp;"tbl"&amp;jpx400chart[[#This Row],[コード]]&amp;"_[#見出し]"</f>
        <v>'[jpx400_data.xlsm]5857'!tbl5857_[#見出し]</v>
      </c>
      <c r="E171" t="str" cm="1">
        <f t="array" ref="E171">_xll.RssChartPast(INDIRECT(jpx400chart[[#This Row],[ヘッダー行]]), jpx400chart[[#This Row],[コード]], "D",20160401,3000)</f>
        <v>=RssChartPast(INDIRECT([@ヘッダー行]), [@コード], "D",20160401,3000) =&gt; 完了</v>
      </c>
    </row>
    <row r="172" spans="1:5" x14ac:dyDescent="0.45">
      <c r="A172">
        <f>_400_j_pdf[[#This Row],[コード]]</f>
        <v>5929</v>
      </c>
      <c r="B172" t="str" cm="1">
        <f t="array" ref="B172">_xll.RssMarket(jpx400chart[[#This Row],[コード]],jpx400chart[[#Headers],[銘柄名称]])</f>
        <v>三和ホールディングス</v>
      </c>
      <c r="C172" cm="1">
        <f t="array" ref="C172">_xll.RssMarket(jpx400chart[[#This Row],[コード]],jpx400chart[[#Headers],[現在値]])</f>
        <v>4044</v>
      </c>
      <c r="D172" t="str">
        <f>"'[jpx400_data.xlsm]"&amp;jpx400chart[[#This Row],[コード]]&amp;"'!"&amp;"tbl"&amp;jpx400chart[[#This Row],[コード]]&amp;"_[#見出し]"</f>
        <v>'[jpx400_data.xlsm]5929'!tbl5929_[#見出し]</v>
      </c>
      <c r="E172" t="str" cm="1">
        <f t="array" ref="E172">_xll.RssChartPast(INDIRECT(jpx400chart[[#This Row],[ヘッダー行]]), jpx400chart[[#This Row],[コード]], "D",20160401,3000)</f>
        <v>=RssChartPast(INDIRECT([@ヘッダー行]), [@コード], "D",20160401,3000) =&gt; 完了</v>
      </c>
    </row>
    <row r="173" spans="1:5" x14ac:dyDescent="0.45">
      <c r="A173">
        <f>_400_j_pdf[[#This Row],[コード]]</f>
        <v>5947</v>
      </c>
      <c r="B173" t="str" cm="1">
        <f t="array" ref="B173">_xll.RssMarket(jpx400chart[[#This Row],[コード]],jpx400chart[[#Headers],[銘柄名称]])</f>
        <v>リンナイ</v>
      </c>
      <c r="C173" cm="1">
        <f t="array" ref="C173">_xll.RssMarket(jpx400chart[[#This Row],[コード]],jpx400chart[[#Headers],[現在値]])</f>
        <v>4067</v>
      </c>
      <c r="D173" t="str">
        <f>"'[jpx400_data.xlsm]"&amp;jpx400chart[[#This Row],[コード]]&amp;"'!"&amp;"tbl"&amp;jpx400chart[[#This Row],[コード]]&amp;"_[#見出し]"</f>
        <v>'[jpx400_data.xlsm]5947'!tbl5947_[#見出し]</v>
      </c>
      <c r="E173" t="str" cm="1">
        <f t="array" ref="E173">_xll.RssChartPast(INDIRECT(jpx400chart[[#This Row],[ヘッダー行]]), jpx400chart[[#This Row],[コード]], "D",20160401,3000)</f>
        <v>=RssChartPast(INDIRECT([@ヘッダー行]), [@コード], "D",20160401,3000) =&gt; 完了</v>
      </c>
    </row>
    <row r="174" spans="1:5" x14ac:dyDescent="0.45">
      <c r="A174">
        <f>_400_j_pdf[[#This Row],[コード]]</f>
        <v>5991</v>
      </c>
      <c r="B174" t="str" cm="1">
        <f t="array" ref="B174">_xll.RssMarket(jpx400chart[[#This Row],[コード]],jpx400chart[[#Headers],[銘柄名称]])</f>
        <v>日本発条</v>
      </c>
      <c r="C174" cm="1">
        <f t="array" ref="C174">_xll.RssMarket(jpx400chart[[#This Row],[コード]],jpx400chart[[#Headers],[現在値]])</f>
        <v>2682</v>
      </c>
      <c r="D174" t="str">
        <f>"'[jpx400_data.xlsm]"&amp;jpx400chart[[#This Row],[コード]]&amp;"'!"&amp;"tbl"&amp;jpx400chart[[#This Row],[コード]]&amp;"_[#見出し]"</f>
        <v>'[jpx400_data.xlsm]5991'!tbl5991_[#見出し]</v>
      </c>
      <c r="E174" t="str" cm="1">
        <f t="array" ref="E174">_xll.RssChartPast(INDIRECT(jpx400chart[[#This Row],[ヘッダー行]]), jpx400chart[[#This Row],[コード]], "D",20160401,3000)</f>
        <v>=RssChartPast(INDIRECT([@ヘッダー行]), [@コード], "D",20160401,3000) =&gt; 完了</v>
      </c>
    </row>
    <row r="175" spans="1:5" x14ac:dyDescent="0.45">
      <c r="A175">
        <f>_400_j_pdf[[#This Row],[コード]]</f>
        <v>6005</v>
      </c>
      <c r="B175" t="str" cm="1">
        <f t="array" ref="B175">_xll.RssMarket(jpx400chart[[#This Row],[コード]],jpx400chart[[#Headers],[銘柄名称]])</f>
        <v>三浦工業</v>
      </c>
      <c r="C175" cm="1">
        <f t="array" ref="C175">_xll.RssMarket(jpx400chart[[#This Row],[コード]],jpx400chart[[#Headers],[現在値]])</f>
        <v>3211</v>
      </c>
      <c r="D175" t="str">
        <f>"'[jpx400_data.xlsm]"&amp;jpx400chart[[#This Row],[コード]]&amp;"'!"&amp;"tbl"&amp;jpx400chart[[#This Row],[コード]]&amp;"_[#見出し]"</f>
        <v>'[jpx400_data.xlsm]6005'!tbl6005_[#見出し]</v>
      </c>
      <c r="E175" t="str" cm="1">
        <f t="array" ref="E175">_xll.RssChartPast(INDIRECT(jpx400chart[[#This Row],[ヘッダー行]]), jpx400chart[[#This Row],[コード]], "D",20160401,3000)</f>
        <v>=RssChartPast(INDIRECT([@ヘッダー行]), [@コード], "D",20160401,3000) =&gt; 完了</v>
      </c>
    </row>
    <row r="176" spans="1:5" x14ac:dyDescent="0.45">
      <c r="A176">
        <f>_400_j_pdf[[#This Row],[コード]]</f>
        <v>6098</v>
      </c>
      <c r="B176" t="str" cm="1">
        <f t="array" ref="B176">_xll.RssMarket(jpx400chart[[#This Row],[コード]],jpx400chart[[#Headers],[銘柄名称]])</f>
        <v>リクルートホールディングス</v>
      </c>
      <c r="C176" cm="1">
        <f t="array" ref="C176">_xll.RssMarket(jpx400chart[[#This Row],[コード]],jpx400chart[[#Headers],[現在値]])</f>
        <v>8510</v>
      </c>
      <c r="D176" t="str">
        <f>"'[jpx400_data.xlsm]"&amp;jpx400chart[[#This Row],[コード]]&amp;"'!"&amp;"tbl"&amp;jpx400chart[[#This Row],[コード]]&amp;"_[#見出し]"</f>
        <v>'[jpx400_data.xlsm]6098'!tbl6098_[#見出し]</v>
      </c>
      <c r="E176" t="str" cm="1">
        <f t="array" ref="E176">_xll.RssChartPast(INDIRECT(jpx400chart[[#This Row],[ヘッダー行]]), jpx400chart[[#This Row],[コード]], "D",20160401,3000)</f>
        <v>=RssChartPast(INDIRECT([@ヘッダー行]), [@コード], "D",20160401,3000) =&gt; 完了</v>
      </c>
    </row>
    <row r="177" spans="1:5" x14ac:dyDescent="0.45">
      <c r="A177">
        <f>_400_j_pdf[[#This Row],[コード]]</f>
        <v>6101</v>
      </c>
      <c r="B177" t="str" cm="1">
        <f t="array" ref="B177">_xll.RssMarket(jpx400chart[[#This Row],[コード]],jpx400chart[[#Headers],[銘柄名称]])</f>
        <v>ツガミ</v>
      </c>
      <c r="C177" cm="1">
        <f t="array" ref="C177">_xll.RssMarket(jpx400chart[[#This Row],[コード]],jpx400chart[[#Headers],[現在値]])</f>
        <v>3095</v>
      </c>
      <c r="D177" t="str">
        <f>"'[jpx400_data.xlsm]"&amp;jpx400chart[[#This Row],[コード]]&amp;"'!"&amp;"tbl"&amp;jpx400chart[[#This Row],[コード]]&amp;"_[#見出し]"</f>
        <v>'[jpx400_data.xlsm]6101'!tbl6101_[#見出し]</v>
      </c>
      <c r="E177" t="str" cm="1">
        <f t="array" ref="E177">_xll.RssChartPast(INDIRECT(jpx400chart[[#This Row],[ヘッダー行]]), jpx400chart[[#This Row],[コード]], "D",20160401,3000)</f>
        <v>=RssChartPast(INDIRECT([@ヘッダー行]), [@コード], "D",20160401,3000) =&gt; 完了</v>
      </c>
    </row>
    <row r="178" spans="1:5" x14ac:dyDescent="0.45">
      <c r="A178">
        <f>_400_j_pdf[[#This Row],[コード]]</f>
        <v>6113</v>
      </c>
      <c r="B178" t="str" cm="1">
        <f t="array" ref="B178">_xll.RssMarket(jpx400chart[[#This Row],[コード]],jpx400chart[[#Headers],[銘柄名称]])</f>
        <v>アマダ</v>
      </c>
      <c r="C178" cm="1">
        <f t="array" ref="C178">_xll.RssMarket(jpx400chart[[#This Row],[コード]],jpx400chart[[#Headers],[現在値]])</f>
        <v>1960</v>
      </c>
      <c r="D178" t="str">
        <f>"'[jpx400_data.xlsm]"&amp;jpx400chart[[#This Row],[コード]]&amp;"'!"&amp;"tbl"&amp;jpx400chart[[#This Row],[コード]]&amp;"_[#見出し]"</f>
        <v>'[jpx400_data.xlsm]6113'!tbl6113_[#見出し]</v>
      </c>
      <c r="E178" t="str" cm="1">
        <f t="array" ref="E178">_xll.RssChartPast(INDIRECT(jpx400chart[[#This Row],[ヘッダー行]]), jpx400chart[[#This Row],[コード]], "D",20160401,3000)</f>
        <v>=RssChartPast(INDIRECT([@ヘッダー行]), [@コード], "D",20160401,3000) =&gt; 完了</v>
      </c>
    </row>
    <row r="179" spans="1:5" x14ac:dyDescent="0.45">
      <c r="A179">
        <f>_400_j_pdf[[#This Row],[コード]]</f>
        <v>6141</v>
      </c>
      <c r="B179" t="str" cm="1">
        <f t="array" ref="B179">_xll.RssMarket(jpx400chart[[#This Row],[コード]],jpx400chart[[#Headers],[銘柄名称]])</f>
        <v>ＤＭＧ森精機</v>
      </c>
      <c r="C179" cm="1">
        <f t="array" ref="C179">_xll.RssMarket(jpx400chart[[#This Row],[コード]],jpx400chart[[#Headers],[現在値]])</f>
        <v>2739</v>
      </c>
      <c r="D179" t="str">
        <f>"'[jpx400_data.xlsm]"&amp;jpx400chart[[#This Row],[コード]]&amp;"'!"&amp;"tbl"&amp;jpx400chart[[#This Row],[コード]]&amp;"_[#見出し]"</f>
        <v>'[jpx400_data.xlsm]6141'!tbl6141_[#見出し]</v>
      </c>
      <c r="E179" t="str" cm="1">
        <f t="array" ref="E179">_xll.RssChartPast(INDIRECT(jpx400chart[[#This Row],[ヘッダー行]]), jpx400chart[[#This Row],[コード]], "D",20160401,3000)</f>
        <v>=RssChartPast(INDIRECT([@ヘッダー行]), [@コード], "D",20160401,3000) =&gt; 完了</v>
      </c>
    </row>
    <row r="180" spans="1:5" x14ac:dyDescent="0.45">
      <c r="A180">
        <f>_400_j_pdf[[#This Row],[コード]]</f>
        <v>6146</v>
      </c>
      <c r="B180" t="str" cm="1">
        <f t="array" ref="B180">_xll.RssMarket(jpx400chart[[#This Row],[コード]],jpx400chart[[#Headers],[銘柄名称]])</f>
        <v>ディスコ</v>
      </c>
      <c r="C180" cm="1">
        <f t="array" ref="C180">_xll.RssMarket(jpx400chart[[#This Row],[コード]],jpx400chart[[#Headers],[現在値]])</f>
        <v>68930</v>
      </c>
      <c r="D180" t="str">
        <f>"'[jpx400_data.xlsm]"&amp;jpx400chart[[#This Row],[コード]]&amp;"'!"&amp;"tbl"&amp;jpx400chart[[#This Row],[コード]]&amp;"_[#見出し]"</f>
        <v>'[jpx400_data.xlsm]6146'!tbl6146_[#見出し]</v>
      </c>
      <c r="E180" t="str" cm="1">
        <f t="array" ref="E180">_xll.RssChartPast(INDIRECT(jpx400chart[[#This Row],[ヘッダー行]]), jpx400chart[[#This Row],[コード]], "D",20160401,3000)</f>
        <v>=RssChartPast(INDIRECT([@ヘッダー行]), [@コード], "D",20160401,3000) =&gt; 完了</v>
      </c>
    </row>
    <row r="181" spans="1:5" x14ac:dyDescent="0.45">
      <c r="A181">
        <f>_400_j_pdf[[#This Row],[コード]]</f>
        <v>6201</v>
      </c>
      <c r="B181" t="str" cm="1">
        <f t="array" ref="B181">_xll.RssMarket(jpx400chart[[#This Row],[コード]],jpx400chart[[#Headers],[銘柄名称]])</f>
        <v>豊田自動織機</v>
      </c>
      <c r="C181" cm="1">
        <f t="array" ref="C181">_xll.RssMarket(jpx400chart[[#This Row],[コード]],jpx400chart[[#Headers],[現在値]])</f>
        <v>19345</v>
      </c>
      <c r="D181" t="str">
        <f>"'[jpx400_data.xlsm]"&amp;jpx400chart[[#This Row],[コード]]&amp;"'!"&amp;"tbl"&amp;jpx400chart[[#This Row],[コード]]&amp;"_[#見出し]"</f>
        <v>'[jpx400_data.xlsm]6201'!tbl6201_[#見出し]</v>
      </c>
      <c r="E181" t="str" cm="1">
        <f t="array" ref="E181">_xll.RssChartPast(INDIRECT(jpx400chart[[#This Row],[ヘッダー行]]), jpx400chart[[#This Row],[コード]], "D",20160401,3000)</f>
        <v>=RssChartPast(INDIRECT([@ヘッダー行]), [@コード], "D",20160401,3000) =&gt; 完了</v>
      </c>
    </row>
    <row r="182" spans="1:5" x14ac:dyDescent="0.45">
      <c r="A182">
        <f>_400_j_pdf[[#This Row],[コード]]</f>
        <v>6254</v>
      </c>
      <c r="B182" t="str" cm="1">
        <f t="array" ref="B182">_xll.RssMarket(jpx400chart[[#This Row],[コード]],jpx400chart[[#Headers],[銘柄名称]])</f>
        <v>野村マイクロ・サイエンス</v>
      </c>
      <c r="C182" cm="1">
        <f t="array" ref="C182">_xll.RssMarket(jpx400chart[[#This Row],[コード]],jpx400chart[[#Headers],[現在値]])</f>
        <v>3650</v>
      </c>
      <c r="D182" t="str">
        <f>"'[jpx400_data.xlsm]"&amp;jpx400chart[[#This Row],[コード]]&amp;"'!"&amp;"tbl"&amp;jpx400chart[[#This Row],[コード]]&amp;"_[#見出し]"</f>
        <v>'[jpx400_data.xlsm]6254'!tbl6254_[#見出し]</v>
      </c>
      <c r="E182" t="str" cm="1">
        <f t="array" ref="E182">_xll.RssChartPast(INDIRECT(jpx400chart[[#This Row],[ヘッダー行]]), jpx400chart[[#This Row],[コード]], "D",20160401,3000)</f>
        <v>=RssChartPast(INDIRECT([@ヘッダー行]), [@コード], "D",20160401,3000) =&gt; 完了</v>
      </c>
    </row>
    <row r="183" spans="1:5" x14ac:dyDescent="0.45">
      <c r="A183">
        <f>_400_j_pdf[[#This Row],[コード]]</f>
        <v>6269</v>
      </c>
      <c r="B183" t="str" cm="1">
        <f t="array" ref="B183">_xll.RssMarket(jpx400chart[[#This Row],[コード]],jpx400chart[[#Headers],[銘柄名称]])</f>
        <v>三井海洋開発</v>
      </c>
      <c r="C183" cm="1">
        <f t="array" ref="C183">_xll.RssMarket(jpx400chart[[#This Row],[コード]],jpx400chart[[#Headers],[現在値]])</f>
        <v>14190</v>
      </c>
      <c r="D183" t="str">
        <f>"'[jpx400_data.xlsm]"&amp;jpx400chart[[#This Row],[コード]]&amp;"'!"&amp;"tbl"&amp;jpx400chart[[#This Row],[コード]]&amp;"_[#見出し]"</f>
        <v>'[jpx400_data.xlsm]6269'!tbl6269_[#見出し]</v>
      </c>
      <c r="E183" t="str" cm="1">
        <f t="array" ref="E183">_xll.RssChartPast(INDIRECT(jpx400chart[[#This Row],[ヘッダー行]]), jpx400chart[[#This Row],[コード]], "D",20160401,3000)</f>
        <v>=RssChartPast(INDIRECT([@ヘッダー行]), [@コード], "D",20160401,3000) =&gt; 完了</v>
      </c>
    </row>
    <row r="184" spans="1:5" x14ac:dyDescent="0.45">
      <c r="A184">
        <f>_400_j_pdf[[#This Row],[コード]]</f>
        <v>6273</v>
      </c>
      <c r="B184" t="str" cm="1">
        <f t="array" ref="B184">_xll.RssMarket(jpx400chart[[#This Row],[コード]],jpx400chart[[#Headers],[銘柄名称]])</f>
        <v>ＳＭＣ</v>
      </c>
      <c r="C184" cm="1">
        <f t="array" ref="C184">_xll.RssMarket(jpx400chart[[#This Row],[コード]],jpx400chart[[#Headers],[現在値]])</f>
        <v>62910</v>
      </c>
      <c r="D184" t="str">
        <f>"'[jpx400_data.xlsm]"&amp;jpx400chart[[#This Row],[コード]]&amp;"'!"&amp;"tbl"&amp;jpx400chart[[#This Row],[コード]]&amp;"_[#見出し]"</f>
        <v>'[jpx400_data.xlsm]6273'!tbl6273_[#見出し]</v>
      </c>
      <c r="E184" t="str" cm="1">
        <f t="array" ref="E184">_xll.RssChartPast(INDIRECT(jpx400chart[[#This Row],[ヘッダー行]]), jpx400chart[[#This Row],[コード]], "D",20160401,3000)</f>
        <v>=RssChartPast(INDIRECT([@ヘッダー行]), [@コード], "D",20160401,3000) =&gt; 完了</v>
      </c>
    </row>
    <row r="185" spans="1:5" x14ac:dyDescent="0.45">
      <c r="A185">
        <f>_400_j_pdf[[#This Row],[コード]]</f>
        <v>6301</v>
      </c>
      <c r="B185" t="str" cm="1">
        <f t="array" ref="B185">_xll.RssMarket(jpx400chart[[#This Row],[コード]],jpx400chart[[#Headers],[銘柄名称]])</f>
        <v>小松製作所</v>
      </c>
      <c r="C185" cm="1">
        <f t="array" ref="C185">_xll.RssMarket(jpx400chart[[#This Row],[コード]],jpx400chart[[#Headers],[現在値]])</f>
        <v>5681</v>
      </c>
      <c r="D185" t="str">
        <f>"'[jpx400_data.xlsm]"&amp;jpx400chart[[#This Row],[コード]]&amp;"'!"&amp;"tbl"&amp;jpx400chart[[#This Row],[コード]]&amp;"_[#見出し]"</f>
        <v>'[jpx400_data.xlsm]6301'!tbl6301_[#見出し]</v>
      </c>
      <c r="E185" t="str" cm="1">
        <f t="array" ref="E185">_xll.RssChartPast(INDIRECT(jpx400chart[[#This Row],[ヘッダー行]]), jpx400chart[[#This Row],[コード]], "D",20160401,3000)</f>
        <v>=RssChartPast(INDIRECT([@ヘッダー行]), [@コード], "D",20160401,3000) =&gt; 完了</v>
      </c>
    </row>
    <row r="186" spans="1:5" x14ac:dyDescent="0.45">
      <c r="A186">
        <f>_400_j_pdf[[#This Row],[コード]]</f>
        <v>6305</v>
      </c>
      <c r="B186" t="str" cm="1">
        <f t="array" ref="B186">_xll.RssMarket(jpx400chart[[#This Row],[コード]],jpx400chart[[#Headers],[銘柄名称]])</f>
        <v>日立建機</v>
      </c>
      <c r="C186" cm="1">
        <f t="array" ref="C186">_xll.RssMarket(jpx400chart[[#This Row],[コード]],jpx400chart[[#Headers],[現在値]])</f>
        <v>5108</v>
      </c>
      <c r="D186" t="str">
        <f>"'[jpx400_data.xlsm]"&amp;jpx400chart[[#This Row],[コード]]&amp;"'!"&amp;"tbl"&amp;jpx400chart[[#This Row],[コード]]&amp;"_[#見出し]"</f>
        <v>'[jpx400_data.xlsm]6305'!tbl6305_[#見出し]</v>
      </c>
      <c r="E186" t="str" cm="1">
        <f t="array" ref="E186">_xll.RssChartPast(INDIRECT(jpx400chart[[#This Row],[ヘッダー行]]), jpx400chart[[#This Row],[コード]], "D",20160401,3000)</f>
        <v>=RssChartPast(INDIRECT([@ヘッダー行]), [@コード], "D",20160401,3000) =&gt; 完了</v>
      </c>
    </row>
    <row r="187" spans="1:5" x14ac:dyDescent="0.45">
      <c r="A187">
        <f>_400_j_pdf[[#This Row],[コード]]</f>
        <v>6323</v>
      </c>
      <c r="B187" t="str" cm="1">
        <f t="array" ref="B187">_xll.RssMarket(jpx400chart[[#This Row],[コード]],jpx400chart[[#Headers],[銘柄名称]])</f>
        <v>ローツェ</v>
      </c>
      <c r="C187" cm="1">
        <f t="array" ref="C187">_xll.RssMarket(jpx400chart[[#This Row],[コード]],jpx400chart[[#Headers],[現在値]])</f>
        <v>3608</v>
      </c>
      <c r="D187" t="str">
        <f>"'[jpx400_data.xlsm]"&amp;jpx400chart[[#This Row],[コード]]&amp;"'!"&amp;"tbl"&amp;jpx400chart[[#This Row],[コード]]&amp;"_[#見出し]"</f>
        <v>'[jpx400_data.xlsm]6323'!tbl6323_[#見出し]</v>
      </c>
      <c r="E187" t="str" cm="1">
        <f t="array" ref="E187">_xll.RssChartPast(INDIRECT(jpx400chart[[#This Row],[ヘッダー行]]), jpx400chart[[#This Row],[コード]], "D",20160401,3000)</f>
        <v>=RssChartPast(INDIRECT([@ヘッダー行]), [@コード], "D",20160401,3000) =&gt; 完了</v>
      </c>
    </row>
    <row r="188" spans="1:5" x14ac:dyDescent="0.45">
      <c r="A188">
        <f>_400_j_pdf[[#This Row],[コード]]</f>
        <v>6326</v>
      </c>
      <c r="B188" t="str" cm="1">
        <f t="array" ref="B188">_xll.RssMarket(jpx400chart[[#This Row],[コード]],jpx400chart[[#Headers],[銘柄名称]])</f>
        <v>クボタ</v>
      </c>
      <c r="C188" cm="1">
        <f t="array" ref="C188">_xll.RssMarket(jpx400chart[[#This Row],[コード]],jpx400chart[[#Headers],[現在値]])</f>
        <v>2349.5</v>
      </c>
      <c r="D188" t="str">
        <f>"'[jpx400_data.xlsm]"&amp;jpx400chart[[#This Row],[コード]]&amp;"'!"&amp;"tbl"&amp;jpx400chart[[#This Row],[コード]]&amp;"_[#見出し]"</f>
        <v>'[jpx400_data.xlsm]6326'!tbl6326_[#見出し]</v>
      </c>
      <c r="E188" t="str" cm="1">
        <f t="array" ref="E188">_xll.RssChartPast(INDIRECT(jpx400chart[[#This Row],[ヘッダー行]]), jpx400chart[[#This Row],[コード]], "D",20160401,3000)</f>
        <v>=RssChartPast(INDIRECT([@ヘッダー行]), [@コード], "D",20160401,3000) =&gt; 完了</v>
      </c>
    </row>
    <row r="189" spans="1:5" x14ac:dyDescent="0.45">
      <c r="A189">
        <f>_400_j_pdf[[#This Row],[コード]]</f>
        <v>6361</v>
      </c>
      <c r="B189" t="str" cm="1">
        <f t="array" ref="B189">_xll.RssMarket(jpx400chart[[#This Row],[コード]],jpx400chart[[#Headers],[銘柄名称]])</f>
        <v>荏原製作所</v>
      </c>
      <c r="C189" cm="1">
        <f t="array" ref="C189">_xll.RssMarket(jpx400chart[[#This Row],[コード]],jpx400chart[[#Headers],[現在値]])</f>
        <v>4931</v>
      </c>
      <c r="D189" t="str">
        <f>"'[jpx400_data.xlsm]"&amp;jpx400chart[[#This Row],[コード]]&amp;"'!"&amp;"tbl"&amp;jpx400chart[[#This Row],[コード]]&amp;"_[#見出し]"</f>
        <v>'[jpx400_data.xlsm]6361'!tbl6361_[#見出し]</v>
      </c>
      <c r="E189" t="str" cm="1">
        <f t="array" ref="E189">_xll.RssChartPast(INDIRECT(jpx400chart[[#This Row],[ヘッダー行]]), jpx400chart[[#This Row],[コード]], "D",20160401,3000)</f>
        <v>=RssChartPast(INDIRECT([@ヘッダー行]), [@コード], "D",20160401,3000) =&gt; 完了</v>
      </c>
    </row>
    <row r="190" spans="1:5" x14ac:dyDescent="0.45">
      <c r="A190">
        <f>_400_j_pdf[[#This Row],[コード]]</f>
        <v>6367</v>
      </c>
      <c r="B190" t="str" cm="1">
        <f t="array" ref="B190">_xll.RssMarket(jpx400chart[[#This Row],[コード]],jpx400chart[[#Headers],[銘柄名称]])</f>
        <v>ダイキン工業</v>
      </c>
      <c r="C190" cm="1">
        <f t="array" ref="C190">_xll.RssMarket(jpx400chart[[#This Row],[コード]],jpx400chart[[#Headers],[現在値]])</f>
        <v>19020</v>
      </c>
      <c r="D190" t="str">
        <f>"'[jpx400_data.xlsm]"&amp;jpx400chart[[#This Row],[コード]]&amp;"'!"&amp;"tbl"&amp;jpx400chart[[#This Row],[コード]]&amp;"_[#見出し]"</f>
        <v>'[jpx400_data.xlsm]6367'!tbl6367_[#見出し]</v>
      </c>
      <c r="E190" t="str" cm="1">
        <f t="array" ref="E190">_xll.RssChartPast(INDIRECT(jpx400chart[[#This Row],[ヘッダー行]]), jpx400chart[[#This Row],[コード]], "D",20160401,3000)</f>
        <v>=RssChartPast(INDIRECT([@ヘッダー行]), [@コード], "D",20160401,3000) =&gt; 完了</v>
      </c>
    </row>
    <row r="191" spans="1:5" x14ac:dyDescent="0.45">
      <c r="A191">
        <f>_400_j_pdf[[#This Row],[コード]]</f>
        <v>6368</v>
      </c>
      <c r="B191" t="str" cm="1">
        <f t="array" ref="B191">_xll.RssMarket(jpx400chart[[#This Row],[コード]],jpx400chart[[#Headers],[銘柄名称]])</f>
        <v>オルガノ</v>
      </c>
      <c r="C191" cm="1">
        <f t="array" ref="C191">_xll.RssMarket(jpx400chart[[#This Row],[コード]],jpx400chart[[#Headers],[現在値]])</f>
        <v>16285</v>
      </c>
      <c r="D191" t="str">
        <f>"'[jpx400_data.xlsm]"&amp;jpx400chart[[#This Row],[コード]]&amp;"'!"&amp;"tbl"&amp;jpx400chart[[#This Row],[コード]]&amp;"_[#見出し]"</f>
        <v>'[jpx400_data.xlsm]6368'!tbl6368_[#見出し]</v>
      </c>
      <c r="E191" t="str" cm="1">
        <f t="array" ref="E191">_xll.RssChartPast(INDIRECT(jpx400chart[[#This Row],[ヘッダー行]]), jpx400chart[[#This Row],[コード]], "D",20160401,3000)</f>
        <v>=RssChartPast(INDIRECT([@ヘッダー行]), [@コード], "D",20160401,3000) =&gt; 完了</v>
      </c>
    </row>
    <row r="192" spans="1:5" x14ac:dyDescent="0.45">
      <c r="A192">
        <f>_400_j_pdf[[#This Row],[コード]]</f>
        <v>6383</v>
      </c>
      <c r="B192" t="str" cm="1">
        <f t="array" ref="B192">_xll.RssMarket(jpx400chart[[#This Row],[コード]],jpx400chart[[#Headers],[銘柄名称]])</f>
        <v>ダイフク</v>
      </c>
      <c r="C192" cm="1">
        <f t="array" ref="C192">_xll.RssMarket(jpx400chart[[#This Row],[コード]],jpx400chart[[#Headers],[現在値]])</f>
        <v>5419</v>
      </c>
      <c r="D192" t="str">
        <f>"'[jpx400_data.xlsm]"&amp;jpx400chart[[#This Row],[コード]]&amp;"'!"&amp;"tbl"&amp;jpx400chart[[#This Row],[コード]]&amp;"_[#見出し]"</f>
        <v>'[jpx400_data.xlsm]6383'!tbl6383_[#見出し]</v>
      </c>
      <c r="E192" t="str" cm="1">
        <f t="array" ref="E192">_xll.RssChartPast(INDIRECT(jpx400chart[[#This Row],[ヘッダー行]]), jpx400chart[[#This Row],[コード]], "D",20160401,3000)</f>
        <v>=RssChartPast(INDIRECT([@ヘッダー行]), [@コード], "D",20160401,3000) =&gt; 完了</v>
      </c>
    </row>
    <row r="193" spans="1:5" x14ac:dyDescent="0.45">
      <c r="A193">
        <f>_400_j_pdf[[#This Row],[コード]]</f>
        <v>6417</v>
      </c>
      <c r="B193" t="str" cm="1">
        <f t="array" ref="B193">_xll.RssMarket(jpx400chart[[#This Row],[コード]],jpx400chart[[#Headers],[銘柄名称]])</f>
        <v>ＳＡＮＫＹＯ</v>
      </c>
      <c r="C193" cm="1">
        <f t="array" ref="C193">_xll.RssMarket(jpx400chart[[#This Row],[コード]],jpx400chart[[#Headers],[現在値]])</f>
        <v>2420</v>
      </c>
      <c r="D193" t="str">
        <f>"'[jpx400_data.xlsm]"&amp;jpx400chart[[#This Row],[コード]]&amp;"'!"&amp;"tbl"&amp;jpx400chart[[#This Row],[コード]]&amp;"_[#見出し]"</f>
        <v>'[jpx400_data.xlsm]6417'!tbl6417_[#見出し]</v>
      </c>
      <c r="E193" t="str" cm="1">
        <f t="array" ref="E193">_xll.RssChartPast(INDIRECT(jpx400chart[[#This Row],[ヘッダー行]]), jpx400chart[[#This Row],[コード]], "D",20160401,3000)</f>
        <v>=RssChartPast(INDIRECT([@ヘッダー行]), [@コード], "D",20160401,3000) =&gt; 完了</v>
      </c>
    </row>
    <row r="194" spans="1:5" x14ac:dyDescent="0.45">
      <c r="A194">
        <f>_400_j_pdf[[#This Row],[コード]]</f>
        <v>6432</v>
      </c>
      <c r="B194" t="str" cm="1">
        <f t="array" ref="B194">_xll.RssMarket(jpx400chart[[#This Row],[コード]],jpx400chart[[#Headers],[銘柄名称]])</f>
        <v>竹内製作所</v>
      </c>
      <c r="C194" cm="1">
        <f t="array" ref="C194">_xll.RssMarket(jpx400chart[[#This Row],[コード]],jpx400chart[[#Headers],[現在値]])</f>
        <v>6260</v>
      </c>
      <c r="D194" t="str">
        <f>"'[jpx400_data.xlsm]"&amp;jpx400chart[[#This Row],[コード]]&amp;"'!"&amp;"tbl"&amp;jpx400chart[[#This Row],[コード]]&amp;"_[#見出し]"</f>
        <v>'[jpx400_data.xlsm]6432'!tbl6432_[#見出し]</v>
      </c>
      <c r="E194" t="str" cm="1">
        <f t="array" ref="E194">_xll.RssChartPast(INDIRECT(jpx400chart[[#This Row],[ヘッダー行]]), jpx400chart[[#This Row],[コード]], "D",20160401,3000)</f>
        <v>=RssChartPast(INDIRECT([@ヘッダー行]), [@コード], "D",20160401,3000) =&gt; 完了</v>
      </c>
    </row>
    <row r="195" spans="1:5" x14ac:dyDescent="0.45">
      <c r="A195">
        <f>_400_j_pdf[[#This Row],[コード]]</f>
        <v>6436</v>
      </c>
      <c r="B195" t="str" cm="1">
        <f t="array" ref="B195">_xll.RssMarket(jpx400chart[[#This Row],[コード]],jpx400chart[[#Headers],[銘柄名称]])</f>
        <v>アマノ</v>
      </c>
      <c r="C195" cm="1">
        <f t="array" ref="C195">_xll.RssMarket(jpx400chart[[#This Row],[コード]],jpx400chart[[#Headers],[現在値]])</f>
        <v>4084</v>
      </c>
      <c r="D195" t="str">
        <f>"'[jpx400_data.xlsm]"&amp;jpx400chart[[#This Row],[コード]]&amp;"'!"&amp;"tbl"&amp;jpx400chart[[#This Row],[コード]]&amp;"_[#見出し]"</f>
        <v>'[jpx400_data.xlsm]6436'!tbl6436_[#見出し]</v>
      </c>
      <c r="E195" t="str" cm="1">
        <f t="array" ref="E195">_xll.RssChartPast(INDIRECT(jpx400chart[[#This Row],[ヘッダー行]]), jpx400chart[[#This Row],[コード]], "D",20160401,3000)</f>
        <v>=RssChartPast(INDIRECT([@ヘッダー行]), [@コード], "D",20160401,3000) =&gt; 完了</v>
      </c>
    </row>
    <row r="196" spans="1:5" x14ac:dyDescent="0.45">
      <c r="A196">
        <f>_400_j_pdf[[#This Row],[コード]]</f>
        <v>6448</v>
      </c>
      <c r="B196" t="str" cm="1">
        <f t="array" ref="B196">_xll.RssMarket(jpx400chart[[#This Row],[コード]],jpx400chart[[#Headers],[銘柄名称]])</f>
        <v>ブラザー工業</v>
      </c>
      <c r="C196" cm="1">
        <f t="array" ref="C196">_xll.RssMarket(jpx400chart[[#This Row],[コード]],jpx400chart[[#Headers],[現在値]])</f>
        <v>3156</v>
      </c>
      <c r="D196" t="str">
        <f>"'[jpx400_data.xlsm]"&amp;jpx400chart[[#This Row],[コード]]&amp;"'!"&amp;"tbl"&amp;jpx400chart[[#This Row],[コード]]&amp;"_[#見出し]"</f>
        <v>'[jpx400_data.xlsm]6448'!tbl6448_[#見出し]</v>
      </c>
      <c r="E196" t="str" cm="1">
        <f t="array" ref="E196">_xll.RssChartPast(INDIRECT(jpx400chart[[#This Row],[ヘッダー行]]), jpx400chart[[#This Row],[コード]], "D",20160401,3000)</f>
        <v>=RssChartPast(INDIRECT([@ヘッダー行]), [@コード], "D",20160401,3000) =&gt; 完了</v>
      </c>
    </row>
    <row r="197" spans="1:5" x14ac:dyDescent="0.45">
      <c r="A197">
        <f>_400_j_pdf[[#This Row],[コード]]</f>
        <v>6460</v>
      </c>
      <c r="B197" t="str" cm="1">
        <f t="array" ref="B197">_xll.RssMarket(jpx400chart[[#This Row],[コード]],jpx400chart[[#Headers],[銘柄名称]])</f>
        <v>セガサミーホールディングス</v>
      </c>
      <c r="C197" cm="1">
        <f t="array" ref="C197">_xll.RssMarket(jpx400chart[[#This Row],[コード]],jpx400chart[[#Headers],[現在値]])</f>
        <v>2379.5</v>
      </c>
      <c r="D197" t="str">
        <f>"'[jpx400_data.xlsm]"&amp;jpx400chart[[#This Row],[コード]]&amp;"'!"&amp;"tbl"&amp;jpx400chart[[#This Row],[コード]]&amp;"_[#見出し]"</f>
        <v>'[jpx400_data.xlsm]6460'!tbl6460_[#見出し]</v>
      </c>
      <c r="E197" t="str" cm="1">
        <f t="array" ref="E197">_xll.RssChartPast(INDIRECT(jpx400chart[[#This Row],[ヘッダー行]]), jpx400chart[[#This Row],[コード]], "D",20160401,3000)</f>
        <v>=RssChartPast(INDIRECT([@ヘッダー行]), [@コード], "D",20160401,3000) =&gt; 完了</v>
      </c>
    </row>
    <row r="198" spans="1:5" x14ac:dyDescent="0.45">
      <c r="A198">
        <f>_400_j_pdf[[#This Row],[コード]]</f>
        <v>6465</v>
      </c>
      <c r="B198" t="str" cm="1">
        <f t="array" ref="B198">_xll.RssMarket(jpx400chart[[#This Row],[コード]],jpx400chart[[#Headers],[銘柄名称]])</f>
        <v>ホシザキ</v>
      </c>
      <c r="C198" cm="1">
        <f t="array" ref="C198">_xll.RssMarket(jpx400chart[[#This Row],[コード]],jpx400chart[[#Headers],[現在値]])</f>
        <v>5028</v>
      </c>
      <c r="D198" t="str">
        <f>"'[jpx400_data.xlsm]"&amp;jpx400chart[[#This Row],[コード]]&amp;"'!"&amp;"tbl"&amp;jpx400chart[[#This Row],[コード]]&amp;"_[#見出し]"</f>
        <v>'[jpx400_data.xlsm]6465'!tbl6465_[#見出し]</v>
      </c>
      <c r="E198" t="str" cm="1">
        <f t="array" ref="E198">_xll.RssChartPast(INDIRECT(jpx400chart[[#This Row],[ヘッダー行]]), jpx400chart[[#This Row],[コード]], "D",20160401,3000)</f>
        <v>=RssChartPast(INDIRECT([@ヘッダー行]), [@コード], "D",20160401,3000) =&gt; 完了</v>
      </c>
    </row>
    <row r="199" spans="1:5" x14ac:dyDescent="0.45">
      <c r="A199">
        <f>_400_j_pdf[[#This Row],[コード]]</f>
        <v>6479</v>
      </c>
      <c r="B199" t="str" cm="1">
        <f t="array" ref="B199">_xll.RssMarket(jpx400chart[[#This Row],[コード]],jpx400chart[[#Headers],[銘柄名称]])</f>
        <v>ミネベアミツミ</v>
      </c>
      <c r="C199" cm="1">
        <f t="array" ref="C199">_xll.RssMarket(jpx400chart[[#This Row],[コード]],jpx400chart[[#Headers],[現在値]])</f>
        <v>3250</v>
      </c>
      <c r="D199" t="str">
        <f>"'[jpx400_data.xlsm]"&amp;jpx400chart[[#This Row],[コード]]&amp;"'!"&amp;"tbl"&amp;jpx400chart[[#This Row],[コード]]&amp;"_[#見出し]"</f>
        <v>'[jpx400_data.xlsm]6479'!tbl6479_[#見出し]</v>
      </c>
      <c r="E199" t="str" cm="1">
        <f t="array" ref="E199">_xll.RssChartPast(INDIRECT(jpx400chart[[#This Row],[ヘッダー行]]), jpx400chart[[#This Row],[コード]], "D",20160401,3000)</f>
        <v>=RssChartPast(INDIRECT([@ヘッダー行]), [@コード], "D",20160401,3000) =&gt; 完了</v>
      </c>
    </row>
    <row r="200" spans="1:5" x14ac:dyDescent="0.45">
      <c r="A200">
        <f>_400_j_pdf[[#This Row],[コード]]</f>
        <v>6501</v>
      </c>
      <c r="B200" t="str" cm="1">
        <f t="array" ref="B200">_xll.RssMarket(jpx400chart[[#This Row],[コード]],jpx400chart[[#Headers],[銘柄名称]])</f>
        <v>日立</v>
      </c>
      <c r="C200" cm="1">
        <f t="array" ref="C200">_xll.RssMarket(jpx400chart[[#This Row],[コード]],jpx400chart[[#Headers],[現在値]])</f>
        <v>5094</v>
      </c>
      <c r="D200" t="str">
        <f>"'[jpx400_data.xlsm]"&amp;jpx400chart[[#This Row],[コード]]&amp;"'!"&amp;"tbl"&amp;jpx400chart[[#This Row],[コード]]&amp;"_[#見出し]"</f>
        <v>'[jpx400_data.xlsm]6501'!tbl6501_[#見出し]</v>
      </c>
      <c r="E200" t="str" cm="1">
        <f t="array" ref="E200">_xll.RssChartPast(INDIRECT(jpx400chart[[#This Row],[ヘッダー行]]), jpx400chart[[#This Row],[コード]], "D",20160401,3000)</f>
        <v>=RssChartPast(INDIRECT([@ヘッダー行]), [@コード], "D",20160401,3000) =&gt; 完了</v>
      </c>
    </row>
    <row r="201" spans="1:5" x14ac:dyDescent="0.45">
      <c r="A201">
        <f>_400_j_pdf[[#This Row],[コード]]</f>
        <v>6503</v>
      </c>
      <c r="B201" t="str" cm="1">
        <f t="array" ref="B201">_xll.RssMarket(jpx400chart[[#This Row],[コード]],jpx400chart[[#Headers],[銘柄名称]])</f>
        <v>三菱電機</v>
      </c>
      <c r="C201" cm="1">
        <f t="array" ref="C201">_xll.RssMarket(jpx400chart[[#This Row],[コード]],jpx400chart[[#Headers],[現在値]])</f>
        <v>4886</v>
      </c>
      <c r="D201" t="str">
        <f>"'[jpx400_data.xlsm]"&amp;jpx400chart[[#This Row],[コード]]&amp;"'!"&amp;"tbl"&amp;jpx400chart[[#This Row],[コード]]&amp;"_[#見出し]"</f>
        <v>'[jpx400_data.xlsm]6503'!tbl6503_[#見出し]</v>
      </c>
      <c r="E201" t="str" cm="1">
        <f t="array" ref="E201">_xll.RssChartPast(INDIRECT(jpx400chart[[#This Row],[ヘッダー行]]), jpx400chart[[#This Row],[コード]], "D",20160401,3000)</f>
        <v>=RssChartPast(INDIRECT([@ヘッダー行]), [@コード], "D",20160401,3000) =&gt; 完了</v>
      </c>
    </row>
    <row r="202" spans="1:5" x14ac:dyDescent="0.45">
      <c r="A202">
        <f>_400_j_pdf[[#This Row],[コード]]</f>
        <v>6504</v>
      </c>
      <c r="B202" t="str" cm="1">
        <f t="array" ref="B202">_xll.RssMarket(jpx400chart[[#This Row],[コード]],jpx400chart[[#Headers],[銘柄名称]])</f>
        <v>富士電機</v>
      </c>
      <c r="C202" cm="1">
        <f t="array" ref="C202">_xll.RssMarket(jpx400chart[[#This Row],[コード]],jpx400chart[[#Headers],[現在値]])</f>
        <v>11545</v>
      </c>
      <c r="D202" t="str">
        <f>"'[jpx400_data.xlsm]"&amp;jpx400chart[[#This Row],[コード]]&amp;"'!"&amp;"tbl"&amp;jpx400chart[[#This Row],[コード]]&amp;"_[#見出し]"</f>
        <v>'[jpx400_data.xlsm]6504'!tbl6504_[#見出し]</v>
      </c>
      <c r="E202" t="str" cm="1">
        <f t="array" ref="E202">_xll.RssChartPast(INDIRECT(jpx400chart[[#This Row],[ヘッダー行]]), jpx400chart[[#This Row],[コード]], "D",20160401,3000)</f>
        <v>=RssChartPast(INDIRECT([@ヘッダー行]), [@コード], "D",20160401,3000) =&gt; 完了</v>
      </c>
    </row>
    <row r="203" spans="1:5" x14ac:dyDescent="0.45">
      <c r="A203">
        <f>_400_j_pdf[[#This Row],[コード]]</f>
        <v>6506</v>
      </c>
      <c r="B203" t="str" cm="1">
        <f t="array" ref="B203">_xll.RssMarket(jpx400chart[[#This Row],[コード]],jpx400chart[[#Headers],[銘柄名称]])</f>
        <v>安川電機</v>
      </c>
      <c r="C203" cm="1">
        <f t="array" ref="C203">_xll.RssMarket(jpx400chart[[#This Row],[コード]],jpx400chart[[#Headers],[現在値]])</f>
        <v>5085</v>
      </c>
      <c r="D203" t="str">
        <f>"'[jpx400_data.xlsm]"&amp;jpx400chart[[#This Row],[コード]]&amp;"'!"&amp;"tbl"&amp;jpx400chart[[#This Row],[コード]]&amp;"_[#見出し]"</f>
        <v>'[jpx400_data.xlsm]6506'!tbl6506_[#見出し]</v>
      </c>
      <c r="E203" t="str" cm="1">
        <f t="array" ref="E203">_xll.RssChartPast(INDIRECT(jpx400chart[[#This Row],[ヘッダー行]]), jpx400chart[[#This Row],[コード]], "D",20160401,3000)</f>
        <v>=RssChartPast(INDIRECT([@ヘッダー行]), [@コード], "D",20160401,3000) =&gt; 完了</v>
      </c>
    </row>
    <row r="204" spans="1:5" x14ac:dyDescent="0.45">
      <c r="A204">
        <f>_400_j_pdf[[#This Row],[コード]]</f>
        <v>6532</v>
      </c>
      <c r="B204" t="str" cm="1">
        <f t="array" ref="B204">_xll.RssMarket(jpx400chart[[#This Row],[コード]],jpx400chart[[#Headers],[銘柄名称]])</f>
        <v>ベイカレント</v>
      </c>
      <c r="C204" cm="1">
        <f t="array" ref="C204">_xll.RssMarket(jpx400chart[[#This Row],[コード]],jpx400chart[[#Headers],[現在値]])</f>
        <v>6220</v>
      </c>
      <c r="D204" t="str">
        <f>"'[jpx400_data.xlsm]"&amp;jpx400chart[[#This Row],[コード]]&amp;"'!"&amp;"tbl"&amp;jpx400chart[[#This Row],[コード]]&amp;"_[#見出し]"</f>
        <v>'[jpx400_data.xlsm]6532'!tbl6532_[#見出し]</v>
      </c>
      <c r="E204" t="str" cm="1">
        <f t="array" ref="E204">_xll.RssChartPast(INDIRECT(jpx400chart[[#This Row],[ヘッダー行]]), jpx400chart[[#This Row],[コード]], "D",20160401,3000)</f>
        <v>=RssChartPast(INDIRECT([@ヘッダー行]), [@コード], "D",20160401,3000) =&gt; 完了</v>
      </c>
    </row>
    <row r="205" spans="1:5" x14ac:dyDescent="0.45">
      <c r="A205">
        <f>_400_j_pdf[[#This Row],[コード]]</f>
        <v>6544</v>
      </c>
      <c r="B205" t="str" cm="1">
        <f t="array" ref="B205">_xll.RssMarket(jpx400chart[[#This Row],[コード]],jpx400chart[[#Headers],[銘柄名称]])</f>
        <v>ジャパンエレベーターＳＨＤ</v>
      </c>
      <c r="C205" cm="1">
        <f t="array" ref="C205">_xll.RssMarket(jpx400chart[[#This Row],[コード]],jpx400chart[[#Headers],[現在値]])</f>
        <v>1637</v>
      </c>
      <c r="D205" t="str">
        <f>"'[jpx400_data.xlsm]"&amp;jpx400chart[[#This Row],[コード]]&amp;"'!"&amp;"tbl"&amp;jpx400chart[[#This Row],[コード]]&amp;"_[#見出し]"</f>
        <v>'[jpx400_data.xlsm]6544'!tbl6544_[#見出し]</v>
      </c>
      <c r="E205" t="str" cm="1">
        <f t="array" ref="E205">_xll.RssChartPast(INDIRECT(jpx400chart[[#This Row],[ヘッダー行]]), jpx400chart[[#This Row],[コード]], "D",20160401,3000)</f>
        <v>=RssChartPast(INDIRECT([@ヘッダー行]), [@コード], "D",20160401,3000) =&gt; 完了</v>
      </c>
    </row>
    <row r="206" spans="1:5" x14ac:dyDescent="0.45">
      <c r="A206">
        <f>_400_j_pdf[[#This Row],[コード]]</f>
        <v>6586</v>
      </c>
      <c r="B206" t="str" cm="1">
        <f t="array" ref="B206">_xll.RssMarket(jpx400chart[[#This Row],[コード]],jpx400chart[[#Headers],[銘柄名称]])</f>
        <v>マキタ</v>
      </c>
      <c r="C206" cm="1">
        <f t="array" ref="C206">_xll.RssMarket(jpx400chart[[#This Row],[コード]],jpx400chart[[#Headers],[現在値]])</f>
        <v>4762</v>
      </c>
      <c r="D206" t="str">
        <f>"'[jpx400_data.xlsm]"&amp;jpx400chart[[#This Row],[コード]]&amp;"'!"&amp;"tbl"&amp;jpx400chart[[#This Row],[コード]]&amp;"_[#見出し]"</f>
        <v>'[jpx400_data.xlsm]6586'!tbl6586_[#見出し]</v>
      </c>
      <c r="E206" t="str" cm="1">
        <f t="array" ref="E206">_xll.RssChartPast(INDIRECT(jpx400chart[[#This Row],[ヘッダー行]]), jpx400chart[[#This Row],[コード]], "D",20160401,3000)</f>
        <v>=RssChartPast(INDIRECT([@ヘッダー行]), [@コード], "D",20160401,3000) =&gt; 完了</v>
      </c>
    </row>
    <row r="207" spans="1:5" x14ac:dyDescent="0.45">
      <c r="A207">
        <f>_400_j_pdf[[#This Row],[コード]]</f>
        <v>6590</v>
      </c>
      <c r="B207" t="str" cm="1">
        <f t="array" ref="B207">_xll.RssMarket(jpx400chart[[#This Row],[コード]],jpx400chart[[#Headers],[銘柄名称]])</f>
        <v>芝浦メカトロニクス</v>
      </c>
      <c r="C207" cm="1">
        <f t="array" ref="C207">_xll.RssMarket(jpx400chart[[#This Row],[コード]],jpx400chart[[#Headers],[現在値]])</f>
        <v>26510</v>
      </c>
      <c r="D207" t="str">
        <f>"'[jpx400_data.xlsm]"&amp;jpx400chart[[#This Row],[コード]]&amp;"'!"&amp;"tbl"&amp;jpx400chart[[#This Row],[コード]]&amp;"_[#見出し]"</f>
        <v>'[jpx400_data.xlsm]6590'!tbl6590_[#見出し]</v>
      </c>
      <c r="E207" t="str" cm="1">
        <f t="array" ref="E207">_xll.RssChartPast(INDIRECT(jpx400chart[[#This Row],[ヘッダー行]]), jpx400chart[[#This Row],[コード]], "D",20160401,3000)</f>
        <v>=RssChartPast(INDIRECT([@ヘッダー行]), [@コード], "D",20160401,3000) =&gt; 完了</v>
      </c>
    </row>
    <row r="208" spans="1:5" x14ac:dyDescent="0.45">
      <c r="A208">
        <f>_400_j_pdf[[#This Row],[コード]]</f>
        <v>6632</v>
      </c>
      <c r="B208" t="str" cm="1">
        <f t="array" ref="B208">_xll.RssMarket(jpx400chart[[#This Row],[コード]],jpx400chart[[#Headers],[銘柄名称]])</f>
        <v>ＪＶＣケンウッド</v>
      </c>
      <c r="C208" cm="1">
        <f t="array" ref="C208">_xll.RssMarket(jpx400chart[[#This Row],[コード]],jpx400chart[[#Headers],[現在値]])</f>
        <v>1257.5</v>
      </c>
      <c r="D208" t="str">
        <f>"'[jpx400_data.xlsm]"&amp;jpx400chart[[#This Row],[コード]]&amp;"'!"&amp;"tbl"&amp;jpx400chart[[#This Row],[コード]]&amp;"_[#見出し]"</f>
        <v>'[jpx400_data.xlsm]6632'!tbl6632_[#見出し]</v>
      </c>
      <c r="E208" t="str" cm="1">
        <f t="array" ref="E208">_xll.RssChartPast(INDIRECT(jpx400chart[[#This Row],[ヘッダー行]]), jpx400chart[[#This Row],[コード]], "D",20160401,3000)</f>
        <v>=RssChartPast(INDIRECT([@ヘッダー行]), [@コード], "D",20160401,3000) =&gt; 完了</v>
      </c>
    </row>
    <row r="209" spans="1:5" x14ac:dyDescent="0.45">
      <c r="A209">
        <f>_400_j_pdf[[#This Row],[コード]]</f>
        <v>6645</v>
      </c>
      <c r="B209" t="str" cm="1">
        <f t="array" ref="B209">_xll.RssMarket(jpx400chart[[#This Row],[コード]],jpx400chart[[#Headers],[銘柄名称]])</f>
        <v>オムロン</v>
      </c>
      <c r="C209" cm="1">
        <f t="array" ref="C209">_xll.RssMarket(jpx400chart[[#This Row],[コード]],jpx400chart[[#Headers],[現在値]])</f>
        <v>3925</v>
      </c>
      <c r="D209" t="str">
        <f>"'[jpx400_data.xlsm]"&amp;jpx400chart[[#This Row],[コード]]&amp;"'!"&amp;"tbl"&amp;jpx400chart[[#This Row],[コード]]&amp;"_[#見出し]"</f>
        <v>'[jpx400_data.xlsm]6645'!tbl6645_[#見出し]</v>
      </c>
      <c r="E209" t="str" cm="1">
        <f t="array" ref="E209">_xll.RssChartPast(INDIRECT(jpx400chart[[#This Row],[ヘッダー行]]), jpx400chart[[#This Row],[コード]], "D",20160401,3000)</f>
        <v>=RssChartPast(INDIRECT([@ヘッダー行]), [@コード], "D",20160401,3000) =&gt; 完了</v>
      </c>
    </row>
    <row r="210" spans="1:5" x14ac:dyDescent="0.45">
      <c r="A210">
        <f>_400_j_pdf[[#This Row],[コード]]</f>
        <v>6670</v>
      </c>
      <c r="B210" t="str" cm="1">
        <f t="array" ref="B210">_xll.RssMarket(jpx400chart[[#This Row],[コード]],jpx400chart[[#Headers],[銘柄名称]])</f>
        <v>ＭＣＪ</v>
      </c>
      <c r="C210" cm="1">
        <f t="array" ref="C210">_xll.RssMarket(jpx400chart[[#This Row],[コード]],jpx400chart[[#Headers],[現在値]])</f>
        <v>1623</v>
      </c>
      <c r="D210" t="str">
        <f>"'[jpx400_data.xlsm]"&amp;jpx400chart[[#This Row],[コード]]&amp;"'!"&amp;"tbl"&amp;jpx400chart[[#This Row],[コード]]&amp;"_[#見出し]"</f>
        <v>'[jpx400_data.xlsm]6670'!tbl6670_[#見出し]</v>
      </c>
      <c r="E210" t="str" cm="1">
        <f t="array" ref="E210">_xll.RssChartPast(INDIRECT(jpx400chart[[#This Row],[ヘッダー行]]), jpx400chart[[#This Row],[コード]], "D",20160401,3000)</f>
        <v>=RssChartPast(INDIRECT([@ヘッダー行]), [@コード], "D",20160401,3000) =&gt; 完了</v>
      </c>
    </row>
    <row r="211" spans="1:5" x14ac:dyDescent="0.45">
      <c r="A211">
        <f>_400_j_pdf[[#This Row],[コード]]</f>
        <v>6701</v>
      </c>
      <c r="B211" t="str" cm="1">
        <f t="array" ref="B211">_xll.RssMarket(jpx400chart[[#This Row],[コード]],jpx400chart[[#Headers],[銘柄名称]])</f>
        <v>日本電気</v>
      </c>
      <c r="C211" cm="1">
        <f t="array" ref="C211">_xll.RssMarket(jpx400chart[[#This Row],[コード]],jpx400chart[[#Headers],[現在値]])</f>
        <v>5687</v>
      </c>
      <c r="D211" t="str">
        <f>"'[jpx400_data.xlsm]"&amp;jpx400chart[[#This Row],[コード]]&amp;"'!"&amp;"tbl"&amp;jpx400chart[[#This Row],[コード]]&amp;"_[#見出し]"</f>
        <v>'[jpx400_data.xlsm]6701'!tbl6701_[#見出し]</v>
      </c>
      <c r="E211" t="str" cm="1">
        <f t="array" ref="E211">_xll.RssChartPast(INDIRECT(jpx400chart[[#This Row],[ヘッダー行]]), jpx400chart[[#This Row],[コード]], "D",20160401,3000)</f>
        <v>=RssChartPast(INDIRECT([@ヘッダー行]), [@コード], "D",20160401,3000) =&gt; 完了</v>
      </c>
    </row>
    <row r="212" spans="1:5" x14ac:dyDescent="0.45">
      <c r="A212">
        <f>_400_j_pdf[[#This Row],[コード]]</f>
        <v>6702</v>
      </c>
      <c r="B212" t="str" cm="1">
        <f t="array" ref="B212">_xll.RssMarket(jpx400chart[[#This Row],[コード]],jpx400chart[[#Headers],[銘柄名称]])</f>
        <v>富士通</v>
      </c>
      <c r="C212" cm="1">
        <f t="array" ref="C212">_xll.RssMarket(jpx400chart[[#This Row],[コード]],jpx400chart[[#Headers],[現在値]])</f>
        <v>4087</v>
      </c>
      <c r="D212" t="str">
        <f>"'[jpx400_data.xlsm]"&amp;jpx400chart[[#This Row],[コード]]&amp;"'!"&amp;"tbl"&amp;jpx400chart[[#This Row],[コード]]&amp;"_[#見出し]"</f>
        <v>'[jpx400_data.xlsm]6702'!tbl6702_[#見出し]</v>
      </c>
      <c r="E212" t="str" cm="1">
        <f t="array" ref="E212">_xll.RssChartPast(INDIRECT(jpx400chart[[#This Row],[ヘッダー行]]), jpx400chart[[#This Row],[コード]], "D",20160401,3000)</f>
        <v>=RssChartPast(INDIRECT([@ヘッダー行]), [@コード], "D",20160401,3000) =&gt; 完了</v>
      </c>
    </row>
    <row r="213" spans="1:5" x14ac:dyDescent="0.45">
      <c r="A213">
        <f>_400_j_pdf[[#This Row],[コード]]</f>
        <v>6707</v>
      </c>
      <c r="B213" t="str" cm="1">
        <f t="array" ref="B213">_xll.RssMarket(jpx400chart[[#This Row],[コード]],jpx400chart[[#Headers],[銘柄名称]])</f>
        <v>サンケン電気</v>
      </c>
      <c r="C213" cm="1">
        <f t="array" ref="C213">_xll.RssMarket(jpx400chart[[#This Row],[コード]],jpx400chart[[#Headers],[現在値]])</f>
        <v>6792</v>
      </c>
      <c r="D213" t="str">
        <f>"'[jpx400_data.xlsm]"&amp;jpx400chart[[#This Row],[コード]]&amp;"'!"&amp;"tbl"&amp;jpx400chart[[#This Row],[コード]]&amp;"_[#見出し]"</f>
        <v>'[jpx400_data.xlsm]6707'!tbl6707_[#見出し]</v>
      </c>
      <c r="E213" t="str" cm="1">
        <f t="array" ref="E213">_xll.RssChartPast(INDIRECT(jpx400chart[[#This Row],[ヘッダー行]]), jpx400chart[[#This Row],[コード]], "D",20160401,3000)</f>
        <v>=RssChartPast(INDIRECT([@ヘッダー行]), [@コード], "D",20160401,3000) =&gt; 完了</v>
      </c>
    </row>
    <row r="214" spans="1:5" x14ac:dyDescent="0.45">
      <c r="A214">
        <f>_400_j_pdf[[#This Row],[コード]]</f>
        <v>6723</v>
      </c>
      <c r="B214" t="str" cm="1">
        <f t="array" ref="B214">_xll.RssMarket(jpx400chart[[#This Row],[コード]],jpx400chart[[#Headers],[銘柄名称]])</f>
        <v>ルネサスエレクトロニクス</v>
      </c>
      <c r="C214" cm="1">
        <f t="array" ref="C214">_xll.RssMarket(jpx400chart[[#This Row],[コード]],jpx400chart[[#Headers],[現在値]])</f>
        <v>2390</v>
      </c>
      <c r="D214" t="str">
        <f>"'[jpx400_data.xlsm]"&amp;jpx400chart[[#This Row],[コード]]&amp;"'!"&amp;"tbl"&amp;jpx400chart[[#This Row],[コード]]&amp;"_[#見出し]"</f>
        <v>'[jpx400_data.xlsm]6723'!tbl6723_[#見出し]</v>
      </c>
      <c r="E214" t="str" cm="1">
        <f t="array" ref="E214">_xll.RssChartPast(INDIRECT(jpx400chart[[#This Row],[ヘッダー行]]), jpx400chart[[#This Row],[コード]], "D",20160401,3000)</f>
        <v>=RssChartPast(INDIRECT([@ヘッダー行]), [@コード], "D",20160401,3000) =&gt; 完了</v>
      </c>
    </row>
    <row r="215" spans="1:5" x14ac:dyDescent="0.45">
      <c r="A215">
        <f>_400_j_pdf[[#This Row],[コード]]</f>
        <v>6724</v>
      </c>
      <c r="B215" t="str" cm="1">
        <f t="array" ref="B215">_xll.RssMarket(jpx400chart[[#This Row],[コード]],jpx400chart[[#Headers],[銘柄名称]])</f>
        <v>セイコーエプソン</v>
      </c>
      <c r="C215" cm="1">
        <f t="array" ref="C215">_xll.RssMarket(jpx400chart[[#This Row],[コード]],jpx400chart[[#Headers],[現在値]])</f>
        <v>2003</v>
      </c>
      <c r="D215" t="str">
        <f>"'[jpx400_data.xlsm]"&amp;jpx400chart[[#This Row],[コード]]&amp;"'!"&amp;"tbl"&amp;jpx400chart[[#This Row],[コード]]&amp;"_[#見出し]"</f>
        <v>'[jpx400_data.xlsm]6724'!tbl6724_[#見出し]</v>
      </c>
      <c r="E215" t="str" cm="1">
        <f t="array" ref="E215">_xll.RssChartPast(INDIRECT(jpx400chart[[#This Row],[ヘッダー行]]), jpx400chart[[#This Row],[コード]], "D",20160401,3000)</f>
        <v>=RssChartPast(INDIRECT([@ヘッダー行]), [@コード], "D",20160401,3000) =&gt; 完了</v>
      </c>
    </row>
    <row r="216" spans="1:5" x14ac:dyDescent="0.45">
      <c r="A216">
        <f>_400_j_pdf[[#This Row],[コード]]</f>
        <v>6728</v>
      </c>
      <c r="B216" t="str" cm="1">
        <f t="array" ref="B216">_xll.RssMarket(jpx400chart[[#This Row],[コード]],jpx400chart[[#Headers],[銘柄名称]])</f>
        <v>アルバック</v>
      </c>
      <c r="C216" cm="1">
        <f t="array" ref="C216">_xll.RssMarket(jpx400chart[[#This Row],[コード]],jpx400chart[[#Headers],[現在値]])</f>
        <v>8240</v>
      </c>
      <c r="D216" t="str">
        <f>"'[jpx400_data.xlsm]"&amp;jpx400chart[[#This Row],[コード]]&amp;"'!"&amp;"tbl"&amp;jpx400chart[[#This Row],[コード]]&amp;"_[#見出し]"</f>
        <v>'[jpx400_data.xlsm]6728'!tbl6728_[#見出し]</v>
      </c>
      <c r="E216" t="str" cm="1">
        <f t="array" ref="E216">_xll.RssChartPast(INDIRECT(jpx400chart[[#This Row],[ヘッダー行]]), jpx400chart[[#This Row],[コード]], "D",20160401,3000)</f>
        <v>=RssChartPast(INDIRECT([@ヘッダー行]), [@コード], "D",20160401,3000) =&gt; 完了</v>
      </c>
    </row>
    <row r="217" spans="1:5" x14ac:dyDescent="0.45">
      <c r="A217">
        <f>_400_j_pdf[[#This Row],[コード]]</f>
        <v>6752</v>
      </c>
      <c r="B217" t="str" cm="1">
        <f t="array" ref="B217">_xll.RssMarket(jpx400chart[[#This Row],[コード]],jpx400chart[[#Headers],[銘柄名称]])</f>
        <v>パナソニックホールディンク</v>
      </c>
      <c r="C217" cm="1">
        <f t="array" ref="C217">_xll.RssMarket(jpx400chart[[#This Row],[コード]],jpx400chart[[#Headers],[現在値]])</f>
        <v>2187.5</v>
      </c>
      <c r="D217" t="str">
        <f>"'[jpx400_data.xlsm]"&amp;jpx400chart[[#This Row],[コード]]&amp;"'!"&amp;"tbl"&amp;jpx400chart[[#This Row],[コード]]&amp;"_[#見出し]"</f>
        <v>'[jpx400_data.xlsm]6752'!tbl6752_[#見出し]</v>
      </c>
      <c r="E217" t="str" cm="1">
        <f t="array" ref="E217">_xll.RssChartPast(INDIRECT(jpx400chart[[#This Row],[ヘッダー行]]), jpx400chart[[#This Row],[コード]], "D",20160401,3000)</f>
        <v>=RssChartPast(INDIRECT([@ヘッダー行]), [@コード], "D",20160401,3000) =&gt; 完了</v>
      </c>
    </row>
    <row r="218" spans="1:5" x14ac:dyDescent="0.45">
      <c r="A218">
        <f>_400_j_pdf[[#This Row],[コード]]</f>
        <v>6758</v>
      </c>
      <c r="B218" t="str" cm="1">
        <f t="array" ref="B218">_xll.RssMarket(jpx400chart[[#This Row],[コード]],jpx400chart[[#Headers],[銘柄名称]])</f>
        <v>ソニーグループ</v>
      </c>
      <c r="C218" cm="1">
        <f t="array" ref="C218">_xll.RssMarket(jpx400chart[[#This Row],[コード]],jpx400chart[[#Headers],[現在値]])</f>
        <v>3490</v>
      </c>
      <c r="D218" t="str">
        <f>"'[jpx400_data.xlsm]"&amp;jpx400chart[[#This Row],[コード]]&amp;"'!"&amp;"tbl"&amp;jpx400chart[[#This Row],[コード]]&amp;"_[#見出し]"</f>
        <v>'[jpx400_data.xlsm]6758'!tbl6758_[#見出し]</v>
      </c>
      <c r="E218" t="str" cm="1">
        <f t="array" ref="E218">_xll.RssChartPast(INDIRECT(jpx400chart[[#This Row],[ヘッダー行]]), jpx400chart[[#This Row],[コード]], "D",20160401,3000)</f>
        <v>=RssChartPast(INDIRECT([@ヘッダー行]), [@コード], "D",20160401,3000) =&gt; 完了</v>
      </c>
    </row>
    <row r="219" spans="1:5" x14ac:dyDescent="0.45">
      <c r="A219">
        <f>_400_j_pdf[[#This Row],[コード]]</f>
        <v>6762</v>
      </c>
      <c r="B219" t="str" cm="1">
        <f t="array" ref="B219">_xll.RssMarket(jpx400chart[[#This Row],[コード]],jpx400chart[[#Headers],[銘柄名称]])</f>
        <v>ＴＤＫ</v>
      </c>
      <c r="C219" cm="1">
        <f t="array" ref="C219">_xll.RssMarket(jpx400chart[[#This Row],[コード]],jpx400chart[[#Headers],[現在値]])</f>
        <v>1933.5</v>
      </c>
      <c r="D219" t="str">
        <f>"'[jpx400_data.xlsm]"&amp;jpx400chart[[#This Row],[コード]]&amp;"'!"&amp;"tbl"&amp;jpx400chart[[#This Row],[コード]]&amp;"_[#見出し]"</f>
        <v>'[jpx400_data.xlsm]6762'!tbl6762_[#見出し]</v>
      </c>
      <c r="E219" t="str" cm="1">
        <f t="array" ref="E219">_xll.RssChartPast(INDIRECT(jpx400chart[[#This Row],[ヘッダー行]]), jpx400chart[[#This Row],[コード]], "D",20160401,3000)</f>
        <v>=RssChartPast(INDIRECT([@ヘッダー行]), [@コード], "D",20160401,3000) =&gt; 完了</v>
      </c>
    </row>
    <row r="220" spans="1:5" x14ac:dyDescent="0.45">
      <c r="A220">
        <f>_400_j_pdf[[#This Row],[コード]]</f>
        <v>6787</v>
      </c>
      <c r="B220" t="str" cm="1">
        <f t="array" ref="B220">_xll.RssMarket(jpx400chart[[#This Row],[コード]],jpx400chart[[#Headers],[銘柄名称]])</f>
        <v>メイコー</v>
      </c>
      <c r="C220" cm="1">
        <f t="array" ref="C220">_xll.RssMarket(jpx400chart[[#This Row],[コード]],jpx400chart[[#Headers],[現在値]])</f>
        <v>10300</v>
      </c>
      <c r="D220" t="str">
        <f>"'[jpx400_data.xlsm]"&amp;jpx400chart[[#This Row],[コード]]&amp;"'!"&amp;"tbl"&amp;jpx400chart[[#This Row],[コード]]&amp;"_[#見出し]"</f>
        <v>'[jpx400_data.xlsm]6787'!tbl6787_[#見出し]</v>
      </c>
      <c r="E220" t="str" cm="1">
        <f t="array" ref="E220">_xll.RssChartPast(INDIRECT(jpx400chart[[#This Row],[ヘッダー行]]), jpx400chart[[#This Row],[コード]], "D",20160401,3000)</f>
        <v>=RssChartPast(INDIRECT([@ヘッダー行]), [@コード], "D",20160401,3000) =&gt; 完了</v>
      </c>
    </row>
    <row r="221" spans="1:5" x14ac:dyDescent="0.45">
      <c r="A221">
        <f>_400_j_pdf[[#This Row],[コード]]</f>
        <v>6806</v>
      </c>
      <c r="B221" t="str" cm="1">
        <f t="array" ref="B221">_xll.RssMarket(jpx400chart[[#This Row],[コード]],jpx400chart[[#Headers],[銘柄名称]])</f>
        <v>ヒロセ電機</v>
      </c>
      <c r="C221" cm="1">
        <f t="array" ref="C221">_xll.RssMarket(jpx400chart[[#This Row],[コード]],jpx400chart[[#Headers],[現在値]])</f>
        <v>17245</v>
      </c>
      <c r="D221" t="str">
        <f>"'[jpx400_data.xlsm]"&amp;jpx400chart[[#This Row],[コード]]&amp;"'!"&amp;"tbl"&amp;jpx400chart[[#This Row],[コード]]&amp;"_[#見出し]"</f>
        <v>'[jpx400_data.xlsm]6806'!tbl6806_[#見出し]</v>
      </c>
      <c r="E221" t="str" cm="1">
        <f t="array" ref="E221">_xll.RssChartPast(INDIRECT(jpx400chart[[#This Row],[ヘッダー行]]), jpx400chart[[#This Row],[コード]], "D",20160401,3000)</f>
        <v>=RssChartPast(INDIRECT([@ヘッダー行]), [@コード], "D",20160401,3000) =&gt; 完了</v>
      </c>
    </row>
    <row r="222" spans="1:5" x14ac:dyDescent="0.45">
      <c r="A222">
        <f>_400_j_pdf[[#This Row],[コード]]</f>
        <v>6841</v>
      </c>
      <c r="B222" t="str" cm="1">
        <f t="array" ref="B222">_xll.RssMarket(jpx400chart[[#This Row],[コード]],jpx400chart[[#Headers],[銘柄名称]])</f>
        <v>横河電機</v>
      </c>
      <c r="C222" cm="1">
        <f t="array" ref="C222">_xll.RssMarket(jpx400chart[[#This Row],[コード]],jpx400chart[[#Headers],[現在値]])</f>
        <v>5204</v>
      </c>
      <c r="D222" t="str">
        <f>"'[jpx400_data.xlsm]"&amp;jpx400chart[[#This Row],[コード]]&amp;"'!"&amp;"tbl"&amp;jpx400chart[[#This Row],[コード]]&amp;"_[#見出し]"</f>
        <v>'[jpx400_data.xlsm]6841'!tbl6841_[#見出し]</v>
      </c>
      <c r="E222" t="str" cm="1">
        <f t="array" ref="E222">_xll.RssChartPast(INDIRECT(jpx400chart[[#This Row],[ヘッダー行]]), jpx400chart[[#This Row],[コード]], "D",20160401,3000)</f>
        <v>=RssChartPast(INDIRECT([@ヘッダー行]), [@コード], "D",20160401,3000) =&gt; 完了</v>
      </c>
    </row>
    <row r="223" spans="1:5" x14ac:dyDescent="0.45">
      <c r="A223">
        <f>_400_j_pdf[[#This Row],[コード]]</f>
        <v>6845</v>
      </c>
      <c r="B223" t="str" cm="1">
        <f t="array" ref="B223">_xll.RssMarket(jpx400chart[[#This Row],[コード]],jpx400chart[[#Headers],[銘柄名称]])</f>
        <v>アズビル</v>
      </c>
      <c r="C223" cm="1">
        <f t="array" ref="C223">_xll.RssMarket(jpx400chart[[#This Row],[コード]],jpx400chart[[#Headers],[現在値]])</f>
        <v>1365</v>
      </c>
      <c r="D223" t="str">
        <f>"'[jpx400_data.xlsm]"&amp;jpx400chart[[#This Row],[コード]]&amp;"'!"&amp;"tbl"&amp;jpx400chart[[#This Row],[コード]]&amp;"_[#見出し]"</f>
        <v>'[jpx400_data.xlsm]6845'!tbl6845_[#見出し]</v>
      </c>
      <c r="E223" t="str" cm="1">
        <f t="array" ref="E223">_xll.RssChartPast(INDIRECT(jpx400chart[[#This Row],[ヘッダー行]]), jpx400chart[[#This Row],[コード]], "D",20160401,3000)</f>
        <v>=RssChartPast(INDIRECT([@ヘッダー行]), [@コード], "D",20160401,3000) =&gt; 完了</v>
      </c>
    </row>
    <row r="224" spans="1:5" x14ac:dyDescent="0.45">
      <c r="A224">
        <f>_400_j_pdf[[#This Row],[コード]]</f>
        <v>6849</v>
      </c>
      <c r="B224" t="str" cm="1">
        <f t="array" ref="B224">_xll.RssMarket(jpx400chart[[#This Row],[コード]],jpx400chart[[#Headers],[銘柄名称]])</f>
        <v>日本光電工業</v>
      </c>
      <c r="C224" cm="1">
        <f t="array" ref="C224">_xll.RssMarket(jpx400chart[[#This Row],[コード]],jpx400chart[[#Headers],[現在値]])</f>
        <v>1748</v>
      </c>
      <c r="D224" t="str">
        <f>"'[jpx400_data.xlsm]"&amp;jpx400chart[[#This Row],[コード]]&amp;"'!"&amp;"tbl"&amp;jpx400chart[[#This Row],[コード]]&amp;"_[#見出し]"</f>
        <v>'[jpx400_data.xlsm]6849'!tbl6849_[#見出し]</v>
      </c>
      <c r="E224" t="str" cm="1">
        <f t="array" ref="E224">_xll.RssChartPast(INDIRECT(jpx400chart[[#This Row],[ヘッダー行]]), jpx400chart[[#This Row],[コード]], "D",20160401,3000)</f>
        <v>=RssChartPast(INDIRECT([@ヘッダー行]), [@コード], "D",20160401,3000) =&gt; 完了</v>
      </c>
    </row>
    <row r="225" spans="1:5" x14ac:dyDescent="0.45">
      <c r="A225">
        <f>_400_j_pdf[[#This Row],[コード]]</f>
        <v>6856</v>
      </c>
      <c r="B225" t="str" cm="1">
        <f t="array" ref="B225">_xll.RssMarket(jpx400chart[[#This Row],[コード]],jpx400chart[[#Headers],[銘柄名称]])</f>
        <v>堀場製作所</v>
      </c>
      <c r="C225" cm="1">
        <f t="array" ref="C225">_xll.RssMarket(jpx400chart[[#This Row],[コード]],jpx400chart[[#Headers],[現在値]])</f>
        <v>18685</v>
      </c>
      <c r="D225" t="str">
        <f>"'[jpx400_data.xlsm]"&amp;jpx400chart[[#This Row],[コード]]&amp;"'!"&amp;"tbl"&amp;jpx400chart[[#This Row],[コード]]&amp;"_[#見出し]"</f>
        <v>'[jpx400_data.xlsm]6856'!tbl6856_[#見出し]</v>
      </c>
      <c r="E225" t="str" cm="1">
        <f t="array" ref="E225">_xll.RssChartPast(INDIRECT(jpx400chart[[#This Row],[ヘッダー行]]), jpx400chart[[#This Row],[コード]], "D",20160401,3000)</f>
        <v>=RssChartPast(INDIRECT([@ヘッダー行]), [@コード], "D",20160401,3000) =&gt; 完了</v>
      </c>
    </row>
    <row r="226" spans="1:5" x14ac:dyDescent="0.45">
      <c r="A226">
        <f>_400_j_pdf[[#This Row],[コード]]</f>
        <v>6857</v>
      </c>
      <c r="B226" t="str" cm="1">
        <f t="array" ref="B226">_xll.RssMarket(jpx400chart[[#This Row],[コード]],jpx400chart[[#Headers],[銘柄名称]])</f>
        <v>アドバンテスト</v>
      </c>
      <c r="C226" cm="1">
        <f t="array" ref="C226">_xll.RssMarket(jpx400chart[[#This Row],[コード]],jpx400chart[[#Headers],[現在値]])</f>
        <v>24955</v>
      </c>
      <c r="D226" t="str">
        <f>"'[jpx400_data.xlsm]"&amp;jpx400chart[[#This Row],[コード]]&amp;"'!"&amp;"tbl"&amp;jpx400chart[[#This Row],[コード]]&amp;"_[#見出し]"</f>
        <v>'[jpx400_data.xlsm]6857'!tbl6857_[#見出し]</v>
      </c>
      <c r="E226" t="str" cm="1">
        <f t="array" ref="E226">_xll.RssChartPast(INDIRECT(jpx400chart[[#This Row],[ヘッダー行]]), jpx400chart[[#This Row],[コード]], "D",20160401,3000)</f>
        <v>=RssChartPast(INDIRECT([@ヘッダー行]), [@コード], "D",20160401,3000) =&gt; 完了</v>
      </c>
    </row>
    <row r="227" spans="1:5" x14ac:dyDescent="0.45">
      <c r="A227">
        <f>_400_j_pdf[[#This Row],[コード]]</f>
        <v>6861</v>
      </c>
      <c r="B227" t="str" cm="1">
        <f t="array" ref="B227">_xll.RssMarket(jpx400chart[[#This Row],[コード]],jpx400chart[[#Headers],[銘柄名称]])</f>
        <v>キーエンス</v>
      </c>
      <c r="C227" cm="1">
        <f t="array" ref="C227">_xll.RssMarket(jpx400chart[[#This Row],[コード]],jpx400chart[[#Headers],[現在値]])</f>
        <v>58890</v>
      </c>
      <c r="D227" t="str">
        <f>"'[jpx400_data.xlsm]"&amp;jpx400chart[[#This Row],[コード]]&amp;"'!"&amp;"tbl"&amp;jpx400chart[[#This Row],[コード]]&amp;"_[#見出し]"</f>
        <v>'[jpx400_data.xlsm]6861'!tbl6861_[#見出し]</v>
      </c>
      <c r="E227" t="str" cm="1">
        <f t="array" ref="E227">_xll.RssChartPast(INDIRECT(jpx400chart[[#This Row],[ヘッダー行]]), jpx400chart[[#This Row],[コード]], "D",20160401,3000)</f>
        <v>=RssChartPast(INDIRECT([@ヘッダー行]), [@コード], "D",20160401,3000) =&gt; 完了</v>
      </c>
    </row>
    <row r="228" spans="1:5" x14ac:dyDescent="0.45">
      <c r="A228">
        <f>_400_j_pdf[[#This Row],[コード]]</f>
        <v>6869</v>
      </c>
      <c r="B228" t="str" cm="1">
        <f t="array" ref="B228">_xll.RssMarket(jpx400chart[[#This Row],[コード]],jpx400chart[[#Headers],[銘柄名称]])</f>
        <v>シスメックス</v>
      </c>
      <c r="C228" cm="1">
        <f t="array" ref="C228">_xll.RssMarket(jpx400chart[[#This Row],[コード]],jpx400chart[[#Headers],[現在値]])</f>
        <v>1479.5</v>
      </c>
      <c r="D228" t="str">
        <f>"'[jpx400_data.xlsm]"&amp;jpx400chart[[#This Row],[コード]]&amp;"'!"&amp;"tbl"&amp;jpx400chart[[#This Row],[コード]]&amp;"_[#見出し]"</f>
        <v>'[jpx400_data.xlsm]6869'!tbl6869_[#見出し]</v>
      </c>
      <c r="E228" t="str" cm="1">
        <f t="array" ref="E228">_xll.RssChartPast(INDIRECT(jpx400chart[[#This Row],[ヘッダー行]]), jpx400chart[[#This Row],[コード]], "D",20160401,3000)</f>
        <v>=RssChartPast(INDIRECT([@ヘッダー行]), [@コード], "D",20160401,3000) =&gt; 完了</v>
      </c>
    </row>
    <row r="229" spans="1:5" x14ac:dyDescent="0.45">
      <c r="A229">
        <f>_400_j_pdf[[#This Row],[コード]]</f>
        <v>6902</v>
      </c>
      <c r="B229" t="str" cm="1">
        <f t="array" ref="B229">_xll.RssMarket(jpx400chart[[#This Row],[コード]],jpx400chart[[#Headers],[銘柄名称]])</f>
        <v>デンソー</v>
      </c>
      <c r="C229" cm="1">
        <f t="array" ref="C229">_xll.RssMarket(jpx400chart[[#This Row],[コード]],jpx400chart[[#Headers],[現在値]])</f>
        <v>2126</v>
      </c>
      <c r="D229" t="str">
        <f>"'[jpx400_data.xlsm]"&amp;jpx400chart[[#This Row],[コード]]&amp;"'!"&amp;"tbl"&amp;jpx400chart[[#This Row],[コード]]&amp;"_[#見出し]"</f>
        <v>'[jpx400_data.xlsm]6902'!tbl6902_[#見出し]</v>
      </c>
      <c r="E229" t="str" cm="1">
        <f t="array" ref="E229">_xll.RssChartPast(INDIRECT(jpx400chart[[#This Row],[ヘッダー行]]), jpx400chart[[#This Row],[コード]], "D",20160401,3000)</f>
        <v>=RssChartPast(INDIRECT([@ヘッダー行]), [@コード], "D",20160401,3000) =&gt; 完了</v>
      </c>
    </row>
    <row r="230" spans="1:5" x14ac:dyDescent="0.45">
      <c r="A230">
        <f>_400_j_pdf[[#This Row],[コード]]</f>
        <v>6920</v>
      </c>
      <c r="B230" t="str" cm="1">
        <f t="array" ref="B230">_xll.RssMarket(jpx400chart[[#This Row],[コード]],jpx400chart[[#Headers],[銘柄名称]])</f>
        <v>レーザーテック</v>
      </c>
      <c r="C230" cm="1">
        <f t="array" ref="C230">_xll.RssMarket(jpx400chart[[#This Row],[コード]],jpx400chart[[#Headers],[現在値]])</f>
        <v>36900</v>
      </c>
      <c r="D230" t="str">
        <f>"'[jpx400_data.xlsm]"&amp;jpx400chart[[#This Row],[コード]]&amp;"'!"&amp;"tbl"&amp;jpx400chart[[#This Row],[コード]]&amp;"_[#見出し]"</f>
        <v>'[jpx400_data.xlsm]6920'!tbl6920_[#見出し]</v>
      </c>
      <c r="E230" t="str" cm="1">
        <f t="array" ref="E230">_xll.RssChartPast(INDIRECT(jpx400chart[[#This Row],[ヘッダー行]]), jpx400chart[[#This Row],[コード]], "D",20160401,3000)</f>
        <v>=RssChartPast(INDIRECT([@ヘッダー行]), [@コード], "D",20160401,3000) =&gt; 完了</v>
      </c>
    </row>
    <row r="231" spans="1:5" x14ac:dyDescent="0.45">
      <c r="A231">
        <f>_400_j_pdf[[#This Row],[コード]]</f>
        <v>6951</v>
      </c>
      <c r="B231" t="str" cm="1">
        <f t="array" ref="B231">_xll.RssMarket(jpx400chart[[#This Row],[コード]],jpx400chart[[#Headers],[銘柄名称]])</f>
        <v>日本電子</v>
      </c>
      <c r="C231" cm="1">
        <f t="array" ref="C231">_xll.RssMarket(jpx400chart[[#This Row],[コード]],jpx400chart[[#Headers],[現在値]])</f>
        <v>6206</v>
      </c>
      <c r="D231" t="str">
        <f>"'[jpx400_data.xlsm]"&amp;jpx400chart[[#This Row],[コード]]&amp;"'!"&amp;"tbl"&amp;jpx400chart[[#This Row],[コード]]&amp;"_[#見出し]"</f>
        <v>'[jpx400_data.xlsm]6951'!tbl6951_[#見出し]</v>
      </c>
      <c r="E231" t="str" cm="1">
        <f t="array" ref="E231">_xll.RssChartPast(INDIRECT(jpx400chart[[#This Row],[ヘッダー行]]), jpx400chart[[#This Row],[コード]], "D",20160401,3000)</f>
        <v>=RssChartPast(INDIRECT([@ヘッダー行]), [@コード], "D",20160401,3000) =&gt; 完了</v>
      </c>
    </row>
    <row r="232" spans="1:5" x14ac:dyDescent="0.45">
      <c r="A232">
        <f>_400_j_pdf[[#This Row],[コード]]</f>
        <v>6954</v>
      </c>
      <c r="B232" t="str" cm="1">
        <f t="array" ref="B232">_xll.RssMarket(jpx400chart[[#This Row],[コード]],jpx400chart[[#Headers],[銘柄名称]])</f>
        <v>ファナック</v>
      </c>
      <c r="C232" cm="1">
        <f t="array" ref="C232">_xll.RssMarket(jpx400chart[[#This Row],[コード]],jpx400chart[[#Headers],[現在値]])</f>
        <v>6342</v>
      </c>
      <c r="D232" t="str">
        <f>"'[jpx400_data.xlsm]"&amp;jpx400chart[[#This Row],[コード]]&amp;"'!"&amp;"tbl"&amp;jpx400chart[[#This Row],[コード]]&amp;"_[#見出し]"</f>
        <v>'[jpx400_data.xlsm]6954'!tbl6954_[#見出し]</v>
      </c>
      <c r="E232" t="str" cm="1">
        <f t="array" ref="E232">_xll.RssChartPast(INDIRECT(jpx400chart[[#This Row],[ヘッダー行]]), jpx400chart[[#This Row],[コード]], "D",20160401,3000)</f>
        <v>=RssChartPast(INDIRECT([@ヘッダー行]), [@コード], "D",20160401,3000) =&gt; 完了</v>
      </c>
    </row>
    <row r="233" spans="1:5" x14ac:dyDescent="0.45">
      <c r="A233">
        <f>_400_j_pdf[[#This Row],[コード]]</f>
        <v>6965</v>
      </c>
      <c r="B233" t="str" cm="1">
        <f t="array" ref="B233">_xll.RssMarket(jpx400chart[[#This Row],[コード]],jpx400chart[[#Headers],[銘柄名称]])</f>
        <v>浜松ホトニクス</v>
      </c>
      <c r="C233" cm="1">
        <f t="array" ref="C233">_xll.RssMarket(jpx400chart[[#This Row],[コード]],jpx400chart[[#Headers],[現在値]])</f>
        <v>1728.5</v>
      </c>
      <c r="D233" t="str">
        <f>"'[jpx400_data.xlsm]"&amp;jpx400chart[[#This Row],[コード]]&amp;"'!"&amp;"tbl"&amp;jpx400chart[[#This Row],[コード]]&amp;"_[#見出し]"</f>
        <v>'[jpx400_data.xlsm]6965'!tbl6965_[#見出し]</v>
      </c>
      <c r="E233" t="str" cm="1">
        <f t="array" ref="E233">_xll.RssChartPast(INDIRECT(jpx400chart[[#This Row],[ヘッダー行]]), jpx400chart[[#This Row],[コード]], "D",20160401,3000)</f>
        <v>=RssChartPast(INDIRECT([@ヘッダー行]), [@コード], "D",20160401,3000) =&gt; 完了</v>
      </c>
    </row>
    <row r="234" spans="1:5" x14ac:dyDescent="0.45">
      <c r="A234">
        <f>_400_j_pdf[[#This Row],[コード]]</f>
        <v>6966</v>
      </c>
      <c r="B234" t="str" cm="1">
        <f t="array" ref="B234">_xll.RssMarket(jpx400chart[[#This Row],[コード]],jpx400chart[[#Headers],[銘柄名称]])</f>
        <v>三井ハイテック</v>
      </c>
      <c r="C234" cm="1">
        <f t="array" ref="C234">_xll.RssMarket(jpx400chart[[#This Row],[コード]],jpx400chart[[#Headers],[現在値]])</f>
        <v>750</v>
      </c>
      <c r="D234" t="str">
        <f>"'[jpx400_data.xlsm]"&amp;jpx400chart[[#This Row],[コード]]&amp;"'!"&amp;"tbl"&amp;jpx400chart[[#This Row],[コード]]&amp;"_[#見出し]"</f>
        <v>'[jpx400_data.xlsm]6966'!tbl6966_[#見出し]</v>
      </c>
      <c r="E234" t="str" cm="1">
        <f t="array" ref="E234">_xll.RssChartPast(INDIRECT(jpx400chart[[#This Row],[ヘッダー行]]), jpx400chart[[#This Row],[コード]], "D",20160401,3000)</f>
        <v>=RssChartPast(INDIRECT([@ヘッダー行]), [@コード], "D",20160401,3000) =&gt; 完了</v>
      </c>
    </row>
    <row r="235" spans="1:5" x14ac:dyDescent="0.45">
      <c r="A235">
        <f>_400_j_pdf[[#This Row],[コード]]</f>
        <v>6981</v>
      </c>
      <c r="B235" t="str" cm="1">
        <f t="array" ref="B235">_xll.RssMarket(jpx400chart[[#This Row],[コード]],jpx400chart[[#Headers],[銘柄名称]])</f>
        <v>村田製作所</v>
      </c>
      <c r="C235" cm="1">
        <f t="array" ref="C235">_xll.RssMarket(jpx400chart[[#This Row],[コード]],jpx400chart[[#Headers],[現在値]])</f>
        <v>3228</v>
      </c>
      <c r="D235" t="str">
        <f>"'[jpx400_data.xlsm]"&amp;jpx400chart[[#This Row],[コード]]&amp;"'!"&amp;"tbl"&amp;jpx400chart[[#This Row],[コード]]&amp;"_[#見出し]"</f>
        <v>'[jpx400_data.xlsm]6981'!tbl6981_[#見出し]</v>
      </c>
      <c r="E235" t="str" cm="1">
        <f t="array" ref="E235">_xll.RssChartPast(INDIRECT(jpx400chart[[#This Row],[ヘッダー行]]), jpx400chart[[#This Row],[コード]], "D",20160401,3000)</f>
        <v>=RssChartPast(INDIRECT([@ヘッダー行]), [@コード], "D",20160401,3000) =&gt; 完了</v>
      </c>
    </row>
    <row r="236" spans="1:5" x14ac:dyDescent="0.45">
      <c r="A236">
        <f>_400_j_pdf[[#This Row],[コード]]</f>
        <v>6988</v>
      </c>
      <c r="B236" t="str" cm="1">
        <f t="array" ref="B236">_xll.RssMarket(jpx400chart[[#This Row],[コード]],jpx400chart[[#Headers],[銘柄名称]])</f>
        <v>日東電工</v>
      </c>
      <c r="C236" cm="1">
        <f t="array" ref="C236">_xll.RssMarket(jpx400chart[[#This Row],[コード]],jpx400chart[[#Headers],[現在値]])</f>
        <v>3509</v>
      </c>
      <c r="D236" t="str">
        <f>"'[jpx400_data.xlsm]"&amp;jpx400chart[[#This Row],[コード]]&amp;"'!"&amp;"tbl"&amp;jpx400chart[[#This Row],[コード]]&amp;"_[#見出し]"</f>
        <v>'[jpx400_data.xlsm]6988'!tbl6988_[#見出し]</v>
      </c>
      <c r="E236" t="str" cm="1">
        <f t="array" ref="E236">_xll.RssChartPast(INDIRECT(jpx400chart[[#This Row],[ヘッダー行]]), jpx400chart[[#This Row],[コード]], "D",20160401,3000)</f>
        <v>=RssChartPast(INDIRECT([@ヘッダー行]), [@コード], "D",20160401,3000) =&gt; 完了</v>
      </c>
    </row>
    <row r="237" spans="1:5" x14ac:dyDescent="0.45">
      <c r="A237">
        <f>_400_j_pdf[[#This Row],[コード]]</f>
        <v>7003</v>
      </c>
      <c r="B237" t="str" cm="1">
        <f t="array" ref="B237">_xll.RssMarket(jpx400chart[[#This Row],[コード]],jpx400chart[[#Headers],[銘柄名称]])</f>
        <v>三井Ｅ＆Ｓ</v>
      </c>
      <c r="C237" cm="1">
        <f t="array" ref="C237">_xll.RssMarket(jpx400chart[[#This Row],[コード]],jpx400chart[[#Headers],[現在値]])</f>
        <v>6669</v>
      </c>
      <c r="D237" t="str">
        <f>"'[jpx400_data.xlsm]"&amp;jpx400chart[[#This Row],[コード]]&amp;"'!"&amp;"tbl"&amp;jpx400chart[[#This Row],[コード]]&amp;"_[#見出し]"</f>
        <v>'[jpx400_data.xlsm]7003'!tbl7003_[#見出し]</v>
      </c>
      <c r="E237" t="str" cm="1">
        <f t="array" ref="E237">_xll.RssChartPast(INDIRECT(jpx400chart[[#This Row],[ヘッダー行]]), jpx400chart[[#This Row],[コード]], "D",20160401,3000)</f>
        <v>=RssChartPast(INDIRECT([@ヘッダー行]), [@コード], "D",20160401,3000) =&gt; 完了</v>
      </c>
    </row>
    <row r="238" spans="1:5" x14ac:dyDescent="0.45">
      <c r="A238">
        <f>_400_j_pdf[[#This Row],[コード]]</f>
        <v>7004</v>
      </c>
      <c r="B238" t="str" cm="1">
        <f t="array" ref="B238">_xll.RssMarket(jpx400chart[[#This Row],[コード]],jpx400chart[[#Headers],[銘柄名称]])</f>
        <v>カナデビア</v>
      </c>
      <c r="C238" cm="1">
        <f t="array" ref="C238">_xll.RssMarket(jpx400chart[[#This Row],[コード]],jpx400chart[[#Headers],[現在値]])</f>
        <v>1014</v>
      </c>
      <c r="D238" t="str">
        <f>"'[jpx400_data.xlsm]"&amp;jpx400chart[[#This Row],[コード]]&amp;"'!"&amp;"tbl"&amp;jpx400chart[[#This Row],[コード]]&amp;"_[#見出し]"</f>
        <v>'[jpx400_data.xlsm]7004'!tbl7004_[#見出し]</v>
      </c>
      <c r="E238" t="str" cm="1">
        <f t="array" ref="E238">_xll.RssChartPast(INDIRECT(jpx400chart[[#This Row],[ヘッダー行]]), jpx400chart[[#This Row],[コード]], "D",20160401,3000)</f>
        <v>=RssChartPast(INDIRECT([@ヘッダー行]), [@コード], "D",20160401,3000) =&gt; 完了</v>
      </c>
    </row>
    <row r="239" spans="1:5" x14ac:dyDescent="0.45">
      <c r="A239">
        <f>_400_j_pdf[[#This Row],[コード]]</f>
        <v>7011</v>
      </c>
      <c r="B239" t="str" cm="1">
        <f t="array" ref="B239">_xll.RssMarket(jpx400chart[[#This Row],[コード]],jpx400chart[[#Headers],[銘柄名称]])</f>
        <v>三菱重工業</v>
      </c>
      <c r="C239" cm="1">
        <f t="array" ref="C239">_xll.RssMarket(jpx400chart[[#This Row],[コード]],jpx400chart[[#Headers],[現在値]])</f>
        <v>4550</v>
      </c>
      <c r="D239" t="str">
        <f>"'[jpx400_data.xlsm]"&amp;jpx400chart[[#This Row],[コード]]&amp;"'!"&amp;"tbl"&amp;jpx400chart[[#This Row],[コード]]&amp;"_[#見出し]"</f>
        <v>'[jpx400_data.xlsm]7011'!tbl7011_[#見出し]</v>
      </c>
      <c r="E239" t="str" cm="1">
        <f t="array" ref="E239">_xll.RssChartPast(INDIRECT(jpx400chart[[#This Row],[ヘッダー行]]), jpx400chart[[#This Row],[コード]], "D",20160401,3000)</f>
        <v>=RssChartPast(INDIRECT([@ヘッダー行]), [@コード], "D",20160401,3000) =&gt; 完了</v>
      </c>
    </row>
    <row r="240" spans="1:5" x14ac:dyDescent="0.45">
      <c r="A240">
        <f>_400_j_pdf[[#This Row],[コード]]</f>
        <v>7012</v>
      </c>
      <c r="B240" t="str" cm="1">
        <f t="array" ref="B240">_xll.RssMarket(jpx400chart[[#This Row],[コード]],jpx400chart[[#Headers],[銘柄名称]])</f>
        <v>川崎重工業</v>
      </c>
      <c r="C240" cm="1">
        <f t="array" ref="C240">_xll.RssMarket(jpx400chart[[#This Row],[コード]],jpx400chart[[#Headers],[現在値]])</f>
        <v>13035</v>
      </c>
      <c r="D240" t="str">
        <f>"'[jpx400_data.xlsm]"&amp;jpx400chart[[#This Row],[コード]]&amp;"'!"&amp;"tbl"&amp;jpx400chart[[#This Row],[コード]]&amp;"_[#見出し]"</f>
        <v>'[jpx400_data.xlsm]7012'!tbl7012_[#見出し]</v>
      </c>
      <c r="E240" t="str" cm="1">
        <f t="array" ref="E240">_xll.RssChartPast(INDIRECT(jpx400chart[[#This Row],[ヘッダー行]]), jpx400chart[[#This Row],[コード]], "D",20160401,3000)</f>
        <v>=RssChartPast(INDIRECT([@ヘッダー行]), [@コード], "D",20160401,3000) =&gt; 完了</v>
      </c>
    </row>
    <row r="241" spans="1:5" x14ac:dyDescent="0.45">
      <c r="A241">
        <f>_400_j_pdf[[#This Row],[コード]]</f>
        <v>7013</v>
      </c>
      <c r="B241" t="str" cm="1">
        <f t="array" ref="B241">_xll.RssMarket(jpx400chart[[#This Row],[コード]],jpx400chart[[#Headers],[銘柄名称]])</f>
        <v>ＩＨＩ</v>
      </c>
      <c r="C241" cm="1">
        <f t="array" ref="C241">_xll.RssMarket(jpx400chart[[#This Row],[コード]],jpx400chart[[#Headers],[現在値]])</f>
        <v>3561</v>
      </c>
      <c r="D241" t="str">
        <f>"'[jpx400_data.xlsm]"&amp;jpx400chart[[#This Row],[コード]]&amp;"'!"&amp;"tbl"&amp;jpx400chart[[#This Row],[コード]]&amp;"_[#見出し]"</f>
        <v>'[jpx400_data.xlsm]7013'!tbl7013_[#見出し]</v>
      </c>
      <c r="E241" t="str" cm="1">
        <f t="array" ref="E241">_xll.RssChartPast(INDIRECT(jpx400chart[[#This Row],[ヘッダー行]]), jpx400chart[[#This Row],[コード]], "D",20160401,3000)</f>
        <v>=RssChartPast(INDIRECT([@ヘッダー行]), [@コード], "D",20160401,3000) =&gt; 完了</v>
      </c>
    </row>
    <row r="242" spans="1:5" x14ac:dyDescent="0.45">
      <c r="A242">
        <f>_400_j_pdf[[#This Row],[コード]]</f>
        <v>7014</v>
      </c>
      <c r="B242" t="str" cm="1">
        <f t="array" ref="B242">_xll.RssMarket(jpx400chart[[#This Row],[コード]],jpx400chart[[#Headers],[銘柄名称]])</f>
        <v>名村造船所</v>
      </c>
      <c r="C242" cm="1">
        <f t="array" ref="C242">_xll.RssMarket(jpx400chart[[#This Row],[コード]],jpx400chart[[#Headers],[現在値]])</f>
        <v>4300</v>
      </c>
      <c r="D242" t="str">
        <f>"'[jpx400_data.xlsm]"&amp;jpx400chart[[#This Row],[コード]]&amp;"'!"&amp;"tbl"&amp;jpx400chart[[#This Row],[コード]]&amp;"_[#見出し]"</f>
        <v>'[jpx400_data.xlsm]7014'!tbl7014_[#見出し]</v>
      </c>
      <c r="E242" t="str" cm="1">
        <f t="array" ref="E242">_xll.RssChartPast(INDIRECT(jpx400chart[[#This Row],[ヘッダー行]]), jpx400chart[[#This Row],[コード]], "D",20160401,3000)</f>
        <v>=RssChartPast(INDIRECT([@ヘッダー行]), [@コード], "D",20160401,3000) =&gt; 完了</v>
      </c>
    </row>
    <row r="243" spans="1:5" x14ac:dyDescent="0.45">
      <c r="A243">
        <f>_400_j_pdf[[#This Row],[コード]]</f>
        <v>7105</v>
      </c>
      <c r="B243" t="str" cm="1">
        <f t="array" ref="B243">_xll.RssMarket(jpx400chart[[#This Row],[コード]],jpx400chart[[#Headers],[銘柄名称]])</f>
        <v>三菱ロジスネクスト</v>
      </c>
      <c r="C243" cm="1">
        <f t="array" ref="C243">_xll.RssMarket(jpx400chart[[#This Row],[コード]],jpx400chart[[#Headers],[現在値]])</f>
        <v>1555</v>
      </c>
      <c r="D243" t="str">
        <f>"'[jpx400_data.xlsm]"&amp;jpx400chart[[#This Row],[コード]]&amp;"'!"&amp;"tbl"&amp;jpx400chart[[#This Row],[コード]]&amp;"_[#見出し]"</f>
        <v>'[jpx400_data.xlsm]7105'!tbl7105_[#見出し]</v>
      </c>
      <c r="E243" t="str" cm="1">
        <f t="array" ref="E243">_xll.RssChartPast(INDIRECT(jpx400chart[[#This Row],[ヘッダー行]]), jpx400chart[[#This Row],[コード]], "D",20160401,3000)</f>
        <v>=RssChartPast(INDIRECT([@ヘッダー行]), [@コード], "D",20160401,3000) =&gt; 完了</v>
      </c>
    </row>
    <row r="244" spans="1:5" x14ac:dyDescent="0.45">
      <c r="A244">
        <f>_400_j_pdf[[#This Row],[コード]]</f>
        <v>7148</v>
      </c>
      <c r="B244" t="str" cm="1">
        <f t="array" ref="B244">_xll.RssMarket(jpx400chart[[#This Row],[コード]],jpx400chart[[#Headers],[銘柄名称]])</f>
        <v>ＦＰＧ</v>
      </c>
      <c r="C244" cm="1">
        <f t="array" ref="C244">_xll.RssMarket(jpx400chart[[#This Row],[コード]],jpx400chart[[#Headers],[現在値]])</f>
        <v>2033</v>
      </c>
      <c r="D244" t="str">
        <f>"'[jpx400_data.xlsm]"&amp;jpx400chart[[#This Row],[コード]]&amp;"'!"&amp;"tbl"&amp;jpx400chart[[#This Row],[コード]]&amp;"_[#見出し]"</f>
        <v>'[jpx400_data.xlsm]7148'!tbl7148_[#見出し]</v>
      </c>
      <c r="E244" t="str" cm="1">
        <f t="array" ref="E244">_xll.RssChartPast(INDIRECT(jpx400chart[[#This Row],[ヘッダー行]]), jpx400chart[[#This Row],[コード]], "D",20160401,3000)</f>
        <v>=RssChartPast(INDIRECT([@ヘッダー行]), [@コード], "D",20160401,3000) =&gt; 完了</v>
      </c>
    </row>
    <row r="245" spans="1:5" x14ac:dyDescent="0.45">
      <c r="A245">
        <f>_400_j_pdf[[#This Row],[コード]]</f>
        <v>7164</v>
      </c>
      <c r="B245" t="str" cm="1">
        <f t="array" ref="B245">_xll.RssMarket(jpx400chart[[#This Row],[コード]],jpx400chart[[#Headers],[銘柄名称]])</f>
        <v>全国保証</v>
      </c>
      <c r="C245" cm="1">
        <f t="array" ref="C245">_xll.RssMarket(jpx400chart[[#This Row],[コード]],jpx400chart[[#Headers],[現在値]])</f>
        <v>3064</v>
      </c>
      <c r="D245" t="str">
        <f>"'[jpx400_data.xlsm]"&amp;jpx400chart[[#This Row],[コード]]&amp;"'!"&amp;"tbl"&amp;jpx400chart[[#This Row],[コード]]&amp;"_[#見出し]"</f>
        <v>'[jpx400_data.xlsm]7164'!tbl7164_[#見出し]</v>
      </c>
      <c r="E245" t="str" cm="1">
        <f t="array" ref="E245">_xll.RssChartPast(INDIRECT(jpx400chart[[#This Row],[ヘッダー行]]), jpx400chart[[#This Row],[コード]], "D",20160401,3000)</f>
        <v>=RssChartPast(INDIRECT([@ヘッダー行]), [@コード], "D",20160401,3000) =&gt; 完了</v>
      </c>
    </row>
    <row r="246" spans="1:5" x14ac:dyDescent="0.45">
      <c r="A246">
        <f>_400_j_pdf[[#This Row],[コード]]</f>
        <v>7167</v>
      </c>
      <c r="B246" t="str" cm="1">
        <f t="array" ref="B246">_xll.RssMarket(jpx400chart[[#This Row],[コード]],jpx400chart[[#Headers],[銘柄名称]])</f>
        <v>めぶきフィナンシャルＧ</v>
      </c>
      <c r="C246" cm="1">
        <f t="array" ref="C246">_xll.RssMarket(jpx400chart[[#This Row],[コード]],jpx400chart[[#Headers],[現在値]])</f>
        <v>1139.5</v>
      </c>
      <c r="D246" t="str">
        <f>"'[jpx400_data.xlsm]"&amp;jpx400chart[[#This Row],[コード]]&amp;"'!"&amp;"tbl"&amp;jpx400chart[[#This Row],[コード]]&amp;"_[#見出し]"</f>
        <v>'[jpx400_data.xlsm]7167'!tbl7167_[#見出し]</v>
      </c>
      <c r="E246" t="str" cm="1">
        <f t="array" ref="E246">_xll.RssChartPast(INDIRECT(jpx400chart[[#This Row],[ヘッダー行]]), jpx400chart[[#This Row],[コード]], "D",20160401,3000)</f>
        <v>=RssChartPast(INDIRECT([@ヘッダー行]), [@コード], "D",20160401,3000) =&gt; 完了</v>
      </c>
    </row>
    <row r="247" spans="1:5" x14ac:dyDescent="0.45">
      <c r="A247">
        <f>_400_j_pdf[[#This Row],[コード]]</f>
        <v>7186</v>
      </c>
      <c r="B247" t="str" cm="1">
        <f t="array" ref="B247">_xll.RssMarket(jpx400chart[[#This Row],[コード]],jpx400chart[[#Headers],[銘柄名称]])</f>
        <v>横浜フィナンシャルグルーフ</v>
      </c>
      <c r="C247" cm="1">
        <f t="array" ref="C247">_xll.RssMarket(jpx400chart[[#This Row],[コード]],jpx400chart[[#Headers],[現在値]])</f>
        <v>1393</v>
      </c>
      <c r="D247" t="str">
        <f>"'[jpx400_data.xlsm]"&amp;jpx400chart[[#This Row],[コード]]&amp;"'!"&amp;"tbl"&amp;jpx400chart[[#This Row],[コード]]&amp;"_[#見出し]"</f>
        <v>'[jpx400_data.xlsm]7186'!tbl7186_[#見出し]</v>
      </c>
      <c r="E247" t="str" cm="1">
        <f t="array" ref="E247">_xll.RssChartPast(INDIRECT(jpx400chart[[#This Row],[ヘッダー行]]), jpx400chart[[#This Row],[コード]], "D",20160401,3000)</f>
        <v>=RssChartPast(INDIRECT([@ヘッダー行]), [@コード], "D",20160401,3000) =&gt; 完了</v>
      </c>
    </row>
    <row r="248" spans="1:5" x14ac:dyDescent="0.45">
      <c r="A248">
        <f>_400_j_pdf[[#This Row],[コード]]</f>
        <v>7202</v>
      </c>
      <c r="B248" t="str" cm="1">
        <f t="array" ref="B248">_xll.RssMarket(jpx400chart[[#This Row],[コード]],jpx400chart[[#Headers],[銘柄名称]])</f>
        <v>いすゞ自動車</v>
      </c>
      <c r="C248" cm="1">
        <f t="array" ref="C248">_xll.RssMarket(jpx400chart[[#This Row],[コード]],jpx400chart[[#Headers],[現在値]])</f>
        <v>2486.5</v>
      </c>
      <c r="D248" t="str">
        <f>"'[jpx400_data.xlsm]"&amp;jpx400chart[[#This Row],[コード]]&amp;"'!"&amp;"tbl"&amp;jpx400chart[[#This Row],[コード]]&amp;"_[#見出し]"</f>
        <v>'[jpx400_data.xlsm]7202'!tbl7202_[#見出し]</v>
      </c>
      <c r="E248" t="str" cm="1">
        <f t="array" ref="E248">_xll.RssChartPast(INDIRECT(jpx400chart[[#This Row],[ヘッダー行]]), jpx400chart[[#This Row],[コード]], "D",20160401,3000)</f>
        <v>=RssChartPast(INDIRECT([@ヘッダー行]), [@コード], "D",20160401,3000) =&gt; 完了</v>
      </c>
    </row>
    <row r="249" spans="1:5" x14ac:dyDescent="0.45">
      <c r="A249">
        <f>_400_j_pdf[[#This Row],[コード]]</f>
        <v>7203</v>
      </c>
      <c r="B249" t="str" cm="1">
        <f t="array" ref="B249">_xll.RssMarket(jpx400chart[[#This Row],[コード]],jpx400chart[[#Headers],[銘柄名称]])</f>
        <v>トヨタ自動車</v>
      </c>
      <c r="C249" cm="1">
        <f t="array" ref="C249">_xll.RssMarket(jpx400chart[[#This Row],[コード]],jpx400chart[[#Headers],[現在値]])</f>
        <v>3459</v>
      </c>
      <c r="D249" t="str">
        <f>"'[jpx400_data.xlsm]"&amp;jpx400chart[[#This Row],[コード]]&amp;"'!"&amp;"tbl"&amp;jpx400chart[[#This Row],[コード]]&amp;"_[#見出し]"</f>
        <v>'[jpx400_data.xlsm]7203'!tbl7203_[#見出し]</v>
      </c>
      <c r="E249" t="str" cm="1">
        <f t="array" ref="E249">_xll.RssChartPast(INDIRECT(jpx400chart[[#This Row],[ヘッダー行]]), jpx400chart[[#This Row],[コード]], "D",20160401,3000)</f>
        <v>=RssChartPast(INDIRECT([@ヘッダー行]), [@コード], "D",20160401,3000) =&gt; 完了</v>
      </c>
    </row>
    <row r="250" spans="1:5" x14ac:dyDescent="0.45">
      <c r="A250">
        <f>_400_j_pdf[[#This Row],[コード]]</f>
        <v>7211</v>
      </c>
      <c r="B250" t="str" cm="1">
        <f t="array" ref="B250">_xll.RssMarket(jpx400chart[[#This Row],[コード]],jpx400chart[[#Headers],[銘柄名称]])</f>
        <v>三菱自動車工業</v>
      </c>
      <c r="C250" cm="1">
        <f t="array" ref="C250">_xll.RssMarket(jpx400chart[[#This Row],[コード]],jpx400chart[[#Headers],[現在値]])</f>
        <v>369.9</v>
      </c>
      <c r="D250" t="str">
        <f>"'[jpx400_data.xlsm]"&amp;jpx400chart[[#This Row],[コード]]&amp;"'!"&amp;"tbl"&amp;jpx400chart[[#This Row],[コード]]&amp;"_[#見出し]"</f>
        <v>'[jpx400_data.xlsm]7211'!tbl7211_[#見出し]</v>
      </c>
      <c r="E250" t="str" cm="1">
        <f t="array" ref="E250">_xll.RssChartPast(INDIRECT(jpx400chart[[#This Row],[ヘッダー行]]), jpx400chart[[#This Row],[コード]], "D",20160401,3000)</f>
        <v>=RssChartPast(INDIRECT([@ヘッダー行]), [@コード], "D",20160401,3000) =&gt; 完了</v>
      </c>
    </row>
    <row r="251" spans="1:5" x14ac:dyDescent="0.45">
      <c r="A251">
        <f>_400_j_pdf[[#This Row],[コード]]</f>
        <v>7259</v>
      </c>
      <c r="B251" t="str" cm="1">
        <f t="array" ref="B251">_xll.RssMarket(jpx400chart[[#This Row],[コード]],jpx400chart[[#Headers],[銘柄名称]])</f>
        <v>アイシン</v>
      </c>
      <c r="C251" cm="1">
        <f t="array" ref="C251">_xll.RssMarket(jpx400chart[[#This Row],[コード]],jpx400chart[[#Headers],[現在値]])</f>
        <v>2771.5</v>
      </c>
      <c r="D251" t="str">
        <f>"'[jpx400_data.xlsm]"&amp;jpx400chart[[#This Row],[コード]]&amp;"'!"&amp;"tbl"&amp;jpx400chart[[#This Row],[コード]]&amp;"_[#見出し]"</f>
        <v>'[jpx400_data.xlsm]7259'!tbl7259_[#見出し]</v>
      </c>
      <c r="E251" t="str" cm="1">
        <f t="array" ref="E251">_xll.RssChartPast(INDIRECT(jpx400chart[[#This Row],[ヘッダー行]]), jpx400chart[[#This Row],[コード]], "D",20160401,3000)</f>
        <v>=RssChartPast(INDIRECT([@ヘッダー行]), [@コード], "D",20160401,3000) =&gt; 完了</v>
      </c>
    </row>
    <row r="252" spans="1:5" x14ac:dyDescent="0.45">
      <c r="A252">
        <f>_400_j_pdf[[#This Row],[コード]]</f>
        <v>7261</v>
      </c>
      <c r="B252" t="str" cm="1">
        <f t="array" ref="B252">_xll.RssMarket(jpx400chart[[#This Row],[コード]],jpx400chart[[#Headers],[銘柄名称]])</f>
        <v>マツダ</v>
      </c>
      <c r="C252" cm="1">
        <f t="array" ref="C252">_xll.RssMarket(jpx400chart[[#This Row],[コード]],jpx400chart[[#Headers],[現在値]])</f>
        <v>1162.5</v>
      </c>
      <c r="D252" t="str">
        <f>"'[jpx400_data.xlsm]"&amp;jpx400chart[[#This Row],[コード]]&amp;"'!"&amp;"tbl"&amp;jpx400chart[[#This Row],[コード]]&amp;"_[#見出し]"</f>
        <v>'[jpx400_data.xlsm]7261'!tbl7261_[#見出し]</v>
      </c>
      <c r="E252" t="str" cm="1">
        <f t="array" ref="E252">_xll.RssChartPast(INDIRECT(jpx400chart[[#This Row],[ヘッダー行]]), jpx400chart[[#This Row],[コード]], "D",20160401,3000)</f>
        <v>=RssChartPast(INDIRECT([@ヘッダー行]), [@コード], "D",20160401,3000) =&gt; 完了</v>
      </c>
    </row>
    <row r="253" spans="1:5" x14ac:dyDescent="0.45">
      <c r="A253">
        <f>_400_j_pdf[[#This Row],[コード]]</f>
        <v>7267</v>
      </c>
      <c r="B253" t="str" cm="1">
        <f t="array" ref="B253">_xll.RssMarket(jpx400chart[[#This Row],[コード]],jpx400chart[[#Headers],[銘柄名称]])</f>
        <v>本田技研</v>
      </c>
      <c r="C253" cm="1">
        <f t="array" ref="C253">_xll.RssMarket(jpx400chart[[#This Row],[コード]],jpx400chart[[#Headers],[現在値]])</f>
        <v>1536</v>
      </c>
      <c r="D253" t="str">
        <f>"'[jpx400_data.xlsm]"&amp;jpx400chart[[#This Row],[コード]]&amp;"'!"&amp;"tbl"&amp;jpx400chart[[#This Row],[コード]]&amp;"_[#見出し]"</f>
        <v>'[jpx400_data.xlsm]7267'!tbl7267_[#見出し]</v>
      </c>
      <c r="E253" t="str" cm="1">
        <f t="array" ref="E253">_xll.RssChartPast(INDIRECT(jpx400chart[[#This Row],[ヘッダー行]]), jpx400chart[[#This Row],[コード]], "D",20160401,3000)</f>
        <v>=RssChartPast(INDIRECT([@ヘッダー行]), [@コード], "D",20160401,3000) =&gt; 完了</v>
      </c>
    </row>
    <row r="254" spans="1:5" x14ac:dyDescent="0.45">
      <c r="A254">
        <f>_400_j_pdf[[#This Row],[コード]]</f>
        <v>7269</v>
      </c>
      <c r="B254" t="str" cm="1">
        <f t="array" ref="B254">_xll.RssMarket(jpx400chart[[#This Row],[コード]],jpx400chart[[#Headers],[銘柄名称]])</f>
        <v>スズキ</v>
      </c>
      <c r="C254" cm="1">
        <f t="array" ref="C254">_xll.RssMarket(jpx400chart[[#This Row],[コード]],jpx400chart[[#Headers],[現在値]])</f>
        <v>2106.5</v>
      </c>
      <c r="D254" t="str">
        <f>"'[jpx400_data.xlsm]"&amp;jpx400chart[[#This Row],[コード]]&amp;"'!"&amp;"tbl"&amp;jpx400chart[[#This Row],[コード]]&amp;"_[#見出し]"</f>
        <v>'[jpx400_data.xlsm]7269'!tbl7269_[#見出し]</v>
      </c>
      <c r="E254" t="str" cm="1">
        <f t="array" ref="E254">_xll.RssChartPast(INDIRECT(jpx400chart[[#This Row],[ヘッダー行]]), jpx400chart[[#This Row],[コード]], "D",20160401,3000)</f>
        <v>=RssChartPast(INDIRECT([@ヘッダー行]), [@コード], "D",20160401,3000) =&gt; 完了</v>
      </c>
    </row>
    <row r="255" spans="1:5" x14ac:dyDescent="0.45">
      <c r="A255">
        <f>_400_j_pdf[[#This Row],[コード]]</f>
        <v>7270</v>
      </c>
      <c r="B255" t="str" cm="1">
        <f t="array" ref="B255">_xll.RssMarket(jpx400chart[[#This Row],[コード]],jpx400chart[[#Headers],[銘柄名称]])</f>
        <v>ＳＵＢＡＲＵ</v>
      </c>
      <c r="C255" cm="1">
        <f t="array" ref="C255">_xll.RssMarket(jpx400chart[[#This Row],[コード]],jpx400chart[[#Headers],[現在値]])</f>
        <v>3248</v>
      </c>
      <c r="D255" t="str">
        <f>"'[jpx400_data.xlsm]"&amp;jpx400chart[[#This Row],[コード]]&amp;"'!"&amp;"tbl"&amp;jpx400chart[[#This Row],[コード]]&amp;"_[#見出し]"</f>
        <v>'[jpx400_data.xlsm]7270'!tbl7270_[#見出し]</v>
      </c>
      <c r="E255" t="str" cm="1">
        <f t="array" ref="E255">_xll.RssChartPast(INDIRECT(jpx400chart[[#This Row],[ヘッダー行]]), jpx400chart[[#This Row],[コード]], "D",20160401,3000)</f>
        <v>=RssChartPast(INDIRECT([@ヘッダー行]), [@コード], "D",20160401,3000) =&gt; 完了</v>
      </c>
    </row>
    <row r="256" spans="1:5" x14ac:dyDescent="0.45">
      <c r="A256">
        <f>_400_j_pdf[[#This Row],[コード]]</f>
        <v>7272</v>
      </c>
      <c r="B256" t="str" cm="1">
        <f t="array" ref="B256">_xll.RssMarket(jpx400chart[[#This Row],[コード]],jpx400chart[[#Headers],[銘柄名称]])</f>
        <v>ヤマハ発動機</v>
      </c>
      <c r="C256" cm="1">
        <f t="array" ref="C256">_xll.RssMarket(jpx400chart[[#This Row],[コード]],jpx400chart[[#Headers],[現在値]])</f>
        <v>1151</v>
      </c>
      <c r="D256" t="str">
        <f>"'[jpx400_data.xlsm]"&amp;jpx400chart[[#This Row],[コード]]&amp;"'!"&amp;"tbl"&amp;jpx400chart[[#This Row],[コード]]&amp;"_[#見出し]"</f>
        <v>'[jpx400_data.xlsm]7272'!tbl7272_[#見出し]</v>
      </c>
      <c r="E256" t="str" cm="1">
        <f t="array" ref="E256">_xll.RssChartPast(INDIRECT(jpx400chart[[#This Row],[ヘッダー行]]), jpx400chart[[#This Row],[コード]], "D",20160401,3000)</f>
        <v>=RssChartPast(INDIRECT([@ヘッダー行]), [@コード], "D",20160401,3000) =&gt; 完了</v>
      </c>
    </row>
    <row r="257" spans="1:5" x14ac:dyDescent="0.45">
      <c r="A257">
        <f>_400_j_pdf[[#This Row],[コード]]</f>
        <v>7276</v>
      </c>
      <c r="B257" t="str" cm="1">
        <f t="array" ref="B257">_xll.RssMarket(jpx400chart[[#This Row],[コード]],jpx400chart[[#Headers],[銘柄名称]])</f>
        <v>小糸製作所</v>
      </c>
      <c r="C257" cm="1">
        <f t="array" ref="C257">_xll.RssMarket(jpx400chart[[#This Row],[コード]],jpx400chart[[#Headers],[現在値]])</f>
        <v>2392</v>
      </c>
      <c r="D257" t="str">
        <f>"'[jpx400_data.xlsm]"&amp;jpx400chart[[#This Row],[コード]]&amp;"'!"&amp;"tbl"&amp;jpx400chart[[#This Row],[コード]]&amp;"_[#見出し]"</f>
        <v>'[jpx400_data.xlsm]7276'!tbl7276_[#見出し]</v>
      </c>
      <c r="E257" t="str" cm="1">
        <f t="array" ref="E257">_xll.RssChartPast(INDIRECT(jpx400chart[[#This Row],[ヘッダー行]]), jpx400chart[[#This Row],[コード]], "D",20160401,3000)</f>
        <v>=RssChartPast(INDIRECT([@ヘッダー行]), [@コード], "D",20160401,3000) =&gt; 完了</v>
      </c>
    </row>
    <row r="258" spans="1:5" x14ac:dyDescent="0.45">
      <c r="A258">
        <f>_400_j_pdf[[#This Row],[コード]]</f>
        <v>7282</v>
      </c>
      <c r="B258" t="str" cm="1">
        <f t="array" ref="B258">_xll.RssMarket(jpx400chart[[#This Row],[コード]],jpx400chart[[#Headers],[銘柄名称]])</f>
        <v>豊田合成</v>
      </c>
      <c r="C258" cm="1">
        <f t="array" ref="C258">_xll.RssMarket(jpx400chart[[#This Row],[コード]],jpx400chart[[#Headers],[現在値]])</f>
        <v>4224</v>
      </c>
      <c r="D258" t="str">
        <f>"'[jpx400_data.xlsm]"&amp;jpx400chart[[#This Row],[コード]]&amp;"'!"&amp;"tbl"&amp;jpx400chart[[#This Row],[コード]]&amp;"_[#見出し]"</f>
        <v>'[jpx400_data.xlsm]7282'!tbl7282_[#見出し]</v>
      </c>
      <c r="E258" t="str" cm="1">
        <f t="array" ref="E258">_xll.RssChartPast(INDIRECT(jpx400chart[[#This Row],[ヘッダー行]]), jpx400chart[[#This Row],[コード]], "D",20160401,3000)</f>
        <v>=RssChartPast(INDIRECT([@ヘッダー行]), [@コード], "D",20160401,3000) =&gt; 完了</v>
      </c>
    </row>
    <row r="259" spans="1:5" x14ac:dyDescent="0.45">
      <c r="A259">
        <f>_400_j_pdf[[#This Row],[コード]]</f>
        <v>7309</v>
      </c>
      <c r="B259" t="str" cm="1">
        <f t="array" ref="B259">_xll.RssMarket(jpx400chart[[#This Row],[コード]],jpx400chart[[#Headers],[銘柄名称]])</f>
        <v>シマノ</v>
      </c>
      <c r="C259" cm="1">
        <f t="array" ref="C259">_xll.RssMarket(jpx400chart[[#This Row],[コード]],jpx400chart[[#Headers],[現在値]])</f>
        <v>17350</v>
      </c>
      <c r="D259" t="str">
        <f>"'[jpx400_data.xlsm]"&amp;jpx400chart[[#This Row],[コード]]&amp;"'!"&amp;"tbl"&amp;jpx400chart[[#This Row],[コード]]&amp;"_[#見出し]"</f>
        <v>'[jpx400_data.xlsm]7309'!tbl7309_[#見出し]</v>
      </c>
      <c r="E259" t="str" cm="1">
        <f t="array" ref="E259">_xll.RssChartPast(INDIRECT(jpx400chart[[#This Row],[ヘッダー行]]), jpx400chart[[#This Row],[コード]], "D",20160401,3000)</f>
        <v>=RssChartPast(INDIRECT([@ヘッダー行]), [@コード], "D",20160401,3000) =&gt; 完了</v>
      </c>
    </row>
    <row r="260" spans="1:5" x14ac:dyDescent="0.45">
      <c r="A260">
        <f>_400_j_pdf[[#This Row],[コード]]</f>
        <v>7419</v>
      </c>
      <c r="B260" t="str" cm="1">
        <f t="array" ref="B260">_xll.RssMarket(jpx400chart[[#This Row],[コード]],jpx400chart[[#Headers],[銘柄名称]])</f>
        <v>ノジマ</v>
      </c>
      <c r="C260" cm="1">
        <f t="array" ref="C260">_xll.RssMarket(jpx400chart[[#This Row],[コード]],jpx400chart[[#Headers],[現在値]])</f>
        <v>1227</v>
      </c>
      <c r="D260" t="str">
        <f>"'[jpx400_data.xlsm]"&amp;jpx400chart[[#This Row],[コード]]&amp;"'!"&amp;"tbl"&amp;jpx400chart[[#This Row],[コード]]&amp;"_[#見出し]"</f>
        <v>'[jpx400_data.xlsm]7419'!tbl7419_[#見出し]</v>
      </c>
      <c r="E260" t="str" cm="1">
        <f t="array" ref="E260">_xll.RssChartPast(INDIRECT(jpx400chart[[#This Row],[ヘッダー行]]), jpx400chart[[#This Row],[コード]], "D",20160401,3000)</f>
        <v>=RssChartPast(INDIRECT([@ヘッダー行]), [@コード], "D",20160401,3000) =&gt; 完了</v>
      </c>
    </row>
    <row r="261" spans="1:5" x14ac:dyDescent="0.45">
      <c r="A261">
        <f>_400_j_pdf[[#This Row],[コード]]</f>
        <v>7453</v>
      </c>
      <c r="B261" t="str" cm="1">
        <f t="array" ref="B261">_xll.RssMarket(jpx400chart[[#This Row],[コード]],jpx400chart[[#Headers],[銘柄名称]])</f>
        <v>良品計画</v>
      </c>
      <c r="C261" cm="1">
        <f t="array" ref="C261">_xll.RssMarket(jpx400chart[[#This Row],[コード]],jpx400chart[[#Headers],[現在値]])</f>
        <v>3066</v>
      </c>
      <c r="D261" t="str">
        <f>"'[jpx400_data.xlsm]"&amp;jpx400chart[[#This Row],[コード]]&amp;"'!"&amp;"tbl"&amp;jpx400chart[[#This Row],[コード]]&amp;"_[#見出し]"</f>
        <v>'[jpx400_data.xlsm]7453'!tbl7453_[#見出し]</v>
      </c>
      <c r="E261" t="str" cm="1">
        <f t="array" ref="E261">_xll.RssChartPast(INDIRECT(jpx400chart[[#This Row],[ヘッダー行]]), jpx400chart[[#This Row],[コード]], "D",20160401,3000)</f>
        <v>=RssChartPast(INDIRECT([@ヘッダー行]), [@コード], "D",20160401,3000) =&gt; 完了</v>
      </c>
    </row>
    <row r="262" spans="1:5" x14ac:dyDescent="0.45">
      <c r="A262">
        <f>_400_j_pdf[[#This Row],[コード]]</f>
        <v>7459</v>
      </c>
      <c r="B262" t="str" cm="1">
        <f t="array" ref="B262">_xll.RssMarket(jpx400chart[[#This Row],[コード]],jpx400chart[[#Headers],[銘柄名称]])</f>
        <v>メディパルＨＤ</v>
      </c>
      <c r="C262" cm="1">
        <f t="array" ref="C262">_xll.RssMarket(jpx400chart[[#This Row],[コード]],jpx400chart[[#Headers],[現在値]])</f>
        <v>2849.5</v>
      </c>
      <c r="D262" t="str">
        <f>"'[jpx400_data.xlsm]"&amp;jpx400chart[[#This Row],[コード]]&amp;"'!"&amp;"tbl"&amp;jpx400chart[[#This Row],[コード]]&amp;"_[#見出し]"</f>
        <v>'[jpx400_data.xlsm]7459'!tbl7459_[#見出し]</v>
      </c>
      <c r="E262" t="str" cm="1">
        <f t="array" ref="E262">_xll.RssChartPast(INDIRECT(jpx400chart[[#This Row],[ヘッダー行]]), jpx400chart[[#This Row],[コード]], "D",20160401,3000)</f>
        <v>=RssChartPast(INDIRECT([@ヘッダー行]), [@コード], "D",20160401,3000) =&gt; 完了</v>
      </c>
    </row>
    <row r="263" spans="1:5" x14ac:dyDescent="0.45">
      <c r="A263">
        <f>_400_j_pdf[[#This Row],[コード]]</f>
        <v>7532</v>
      </c>
      <c r="B263" t="str" cm="1">
        <f t="array" ref="B263">_xll.RssMarket(jpx400chart[[#This Row],[コード]],jpx400chart[[#Headers],[銘柄名称]])</f>
        <v>パンパシフィックＨＤ</v>
      </c>
      <c r="C263" cm="1">
        <f t="array" ref="C263">_xll.RssMarket(jpx400chart[[#This Row],[コード]],jpx400chart[[#Headers],[現在値]])</f>
        <v>928.1</v>
      </c>
      <c r="D263" t="str">
        <f>"'[jpx400_data.xlsm]"&amp;jpx400chart[[#This Row],[コード]]&amp;"'!"&amp;"tbl"&amp;jpx400chart[[#This Row],[コード]]&amp;"_[#見出し]"</f>
        <v>'[jpx400_data.xlsm]7532'!tbl7532_[#見出し]</v>
      </c>
      <c r="E263" t="str" cm="1">
        <f t="array" ref="E263">_xll.RssChartPast(INDIRECT(jpx400chart[[#This Row],[ヘッダー行]]), jpx400chart[[#This Row],[コード]], "D",20160401,3000)</f>
        <v>=RssChartPast(INDIRECT([@ヘッダー行]), [@コード], "D",20160401,3000) =&gt; 完了</v>
      </c>
    </row>
    <row r="264" spans="1:5" x14ac:dyDescent="0.45">
      <c r="A264">
        <f>_400_j_pdf[[#This Row],[コード]]</f>
        <v>7550</v>
      </c>
      <c r="B264" t="str" cm="1">
        <f t="array" ref="B264">_xll.RssMarket(jpx400chart[[#This Row],[コード]],jpx400chart[[#Headers],[銘柄名称]])</f>
        <v>ゼンショーホールディングス</v>
      </c>
      <c r="C264" cm="1">
        <f t="array" ref="C264">_xll.RssMarket(jpx400chart[[#This Row],[コード]],jpx400chart[[#Headers],[現在値]])</f>
        <v>8423</v>
      </c>
      <c r="D264" t="str">
        <f>"'[jpx400_data.xlsm]"&amp;jpx400chart[[#This Row],[コード]]&amp;"'!"&amp;"tbl"&amp;jpx400chart[[#This Row],[コード]]&amp;"_[#見出し]"</f>
        <v>'[jpx400_data.xlsm]7550'!tbl7550_[#見出し]</v>
      </c>
      <c r="E264" t="str" cm="1">
        <f t="array" ref="E264">_xll.RssChartPast(INDIRECT(jpx400chart[[#This Row],[ヘッダー行]]), jpx400chart[[#This Row],[コード]], "D",20160401,3000)</f>
        <v>=RssChartPast(INDIRECT([@ヘッダー行]), [@コード], "D",20160401,3000) =&gt; 完了</v>
      </c>
    </row>
    <row r="265" spans="1:5" x14ac:dyDescent="0.45">
      <c r="A265">
        <f>_400_j_pdf[[#This Row],[コード]]</f>
        <v>7564</v>
      </c>
      <c r="B265" t="str" cm="1">
        <f t="array" ref="B265">_xll.RssMarket(jpx400chart[[#This Row],[コード]],jpx400chart[[#Headers],[銘柄名称]])</f>
        <v>ワークマン</v>
      </c>
      <c r="C265" cm="1">
        <f t="array" ref="C265">_xll.RssMarket(jpx400chart[[#This Row],[コード]],jpx400chart[[#Headers],[現在値]])</f>
        <v>6490</v>
      </c>
      <c r="D265" t="str">
        <f>"'[jpx400_data.xlsm]"&amp;jpx400chart[[#This Row],[コード]]&amp;"'!"&amp;"tbl"&amp;jpx400chart[[#This Row],[コード]]&amp;"_[#見出し]"</f>
        <v>'[jpx400_data.xlsm]7564'!tbl7564_[#見出し]</v>
      </c>
      <c r="E265" t="str" cm="1">
        <f t="array" ref="E265">_xll.RssChartPast(INDIRECT(jpx400chart[[#This Row],[ヘッダー行]]), jpx400chart[[#This Row],[コード]], "D",20160401,3000)</f>
        <v>=RssChartPast(INDIRECT([@ヘッダー行]), [@コード], "D",20160401,3000) =&gt; 完了</v>
      </c>
    </row>
    <row r="266" spans="1:5" x14ac:dyDescent="0.45">
      <c r="A266">
        <f>_400_j_pdf[[#This Row],[コード]]</f>
        <v>7599</v>
      </c>
      <c r="B266" t="str" cm="1">
        <f t="array" ref="B266">_xll.RssMarket(jpx400chart[[#This Row],[コード]],jpx400chart[[#Headers],[銘柄名称]])</f>
        <v>ＩＤＯＭ</v>
      </c>
      <c r="C266" cm="1">
        <f t="array" ref="C266">_xll.RssMarket(jpx400chart[[#This Row],[コード]],jpx400chart[[#Headers],[現在値]])</f>
        <v>1541</v>
      </c>
      <c r="D266" t="str">
        <f>"'[jpx400_data.xlsm]"&amp;jpx400chart[[#This Row],[コード]]&amp;"'!"&amp;"tbl"&amp;jpx400chart[[#This Row],[コード]]&amp;"_[#見出し]"</f>
        <v>'[jpx400_data.xlsm]7599'!tbl7599_[#見出し]</v>
      </c>
      <c r="E266" t="str" cm="1">
        <f t="array" ref="E266">_xll.RssChartPast(INDIRECT(jpx400chart[[#This Row],[ヘッダー行]]), jpx400chart[[#This Row],[コード]], "D",20160401,3000)</f>
        <v>=RssChartPast(INDIRECT([@ヘッダー行]), [@コード], "D",20160401,3000) =&gt; 完了</v>
      </c>
    </row>
    <row r="267" spans="1:5" x14ac:dyDescent="0.45">
      <c r="A267">
        <f>_400_j_pdf[[#This Row],[コード]]</f>
        <v>7649</v>
      </c>
      <c r="B267" t="str" cm="1">
        <f t="array" ref="B267">_xll.RssMarket(jpx400chart[[#This Row],[コード]],jpx400chart[[#Headers],[銘柄名称]])</f>
        <v>スギホールディングス</v>
      </c>
      <c r="C267" cm="1">
        <f t="array" ref="C267">_xll.RssMarket(jpx400chart[[#This Row],[コード]],jpx400chart[[#Headers],[現在値]])</f>
        <v>3805</v>
      </c>
      <c r="D267" t="str">
        <f>"'[jpx400_data.xlsm]"&amp;jpx400chart[[#This Row],[コード]]&amp;"'!"&amp;"tbl"&amp;jpx400chart[[#This Row],[コード]]&amp;"_[#見出し]"</f>
        <v>'[jpx400_data.xlsm]7649'!tbl7649_[#見出し]</v>
      </c>
      <c r="E267" t="str" cm="1">
        <f t="array" ref="E267">_xll.RssChartPast(INDIRECT(jpx400chart[[#This Row],[ヘッダー行]]), jpx400chart[[#This Row],[コード]], "D",20160401,3000)</f>
        <v>=RssChartPast(INDIRECT([@ヘッダー行]), [@コード], "D",20160401,3000) =&gt; 完了</v>
      </c>
    </row>
    <row r="268" spans="1:5" x14ac:dyDescent="0.45">
      <c r="A268">
        <f>_400_j_pdf[[#This Row],[コード]]</f>
        <v>7701</v>
      </c>
      <c r="B268" t="str" cm="1">
        <f t="array" ref="B268">_xll.RssMarket(jpx400chart[[#This Row],[コード]],jpx400chart[[#Headers],[銘柄名称]])</f>
        <v>島津製作所</v>
      </c>
      <c r="C268" cm="1">
        <f t="array" ref="C268">_xll.RssMarket(jpx400chart[[#This Row],[コード]],jpx400chart[[#Headers],[現在値]])</f>
        <v>4328</v>
      </c>
      <c r="D268" t="str">
        <f>"'[jpx400_data.xlsm]"&amp;jpx400chart[[#This Row],[コード]]&amp;"'!"&amp;"tbl"&amp;jpx400chart[[#This Row],[コード]]&amp;"_[#見出し]"</f>
        <v>'[jpx400_data.xlsm]7701'!tbl7701_[#見出し]</v>
      </c>
      <c r="E268" t="str" cm="1">
        <f t="array" ref="E268">_xll.RssChartPast(INDIRECT(jpx400chart[[#This Row],[ヘッダー行]]), jpx400chart[[#This Row],[コード]], "D",20160401,3000)</f>
        <v>=RssChartPast(INDIRECT([@ヘッダー行]), [@コード], "D",20160401,3000) =&gt; 完了</v>
      </c>
    </row>
    <row r="269" spans="1:5" x14ac:dyDescent="0.45">
      <c r="A269">
        <f>_400_j_pdf[[#This Row],[コード]]</f>
        <v>7716</v>
      </c>
      <c r="B269" t="str" cm="1">
        <f t="array" ref="B269">_xll.RssMarket(jpx400chart[[#This Row],[コード]],jpx400chart[[#Headers],[銘柄名称]])</f>
        <v>ナカニシ</v>
      </c>
      <c r="C269" cm="1">
        <f t="array" ref="C269">_xll.RssMarket(jpx400chart[[#This Row],[コード]],jpx400chart[[#Headers],[現在値]])</f>
        <v>2189</v>
      </c>
      <c r="D269" t="str">
        <f>"'[jpx400_data.xlsm]"&amp;jpx400chart[[#This Row],[コード]]&amp;"'!"&amp;"tbl"&amp;jpx400chart[[#This Row],[コード]]&amp;"_[#見出し]"</f>
        <v>'[jpx400_data.xlsm]7716'!tbl7716_[#見出し]</v>
      </c>
      <c r="E269" t="str" cm="1">
        <f t="array" ref="E269">_xll.RssChartPast(INDIRECT(jpx400chart[[#This Row],[ヘッダー行]]), jpx400chart[[#This Row],[コード]], "D",20160401,3000)</f>
        <v>=RssChartPast(INDIRECT([@ヘッダー行]), [@コード], "D",20160401,3000) =&gt; 完了</v>
      </c>
    </row>
    <row r="270" spans="1:5" x14ac:dyDescent="0.45">
      <c r="A270">
        <f>_400_j_pdf[[#This Row],[コード]]</f>
        <v>7729</v>
      </c>
      <c r="B270" t="str" cm="1">
        <f t="array" ref="B270">_xll.RssMarket(jpx400chart[[#This Row],[コード]],jpx400chart[[#Headers],[銘柄名称]])</f>
        <v>東京精密</v>
      </c>
      <c r="C270" cm="1">
        <f t="array" ref="C270">_xll.RssMarket(jpx400chart[[#This Row],[コード]],jpx400chart[[#Headers],[現在値]])</f>
        <v>13565</v>
      </c>
      <c r="D270" t="str">
        <f>"'[jpx400_data.xlsm]"&amp;jpx400chart[[#This Row],[コード]]&amp;"'!"&amp;"tbl"&amp;jpx400chart[[#This Row],[コード]]&amp;"_[#見出し]"</f>
        <v>'[jpx400_data.xlsm]7729'!tbl7729_[#見出し]</v>
      </c>
      <c r="E270" t="str" cm="1">
        <f t="array" ref="E270">_xll.RssChartPast(INDIRECT(jpx400chart[[#This Row],[ヘッダー行]]), jpx400chart[[#This Row],[コード]], "D",20160401,3000)</f>
        <v>=RssChartPast(INDIRECT([@ヘッダー行]), [@コード], "D",20160401,3000) =&gt; 完了</v>
      </c>
    </row>
    <row r="271" spans="1:5" x14ac:dyDescent="0.45">
      <c r="A271">
        <f>_400_j_pdf[[#This Row],[コード]]</f>
        <v>7733</v>
      </c>
      <c r="B271" t="str" cm="1">
        <f t="array" ref="B271">_xll.RssMarket(jpx400chart[[#This Row],[コード]],jpx400chart[[#Headers],[銘柄名称]])</f>
        <v>オリンパス</v>
      </c>
      <c r="C271" cm="1">
        <f t="array" ref="C271">_xll.RssMarket(jpx400chart[[#This Row],[コード]],jpx400chart[[#Headers],[現在値]])</f>
        <v>1854</v>
      </c>
      <c r="D271" t="str">
        <f>"'[jpx400_data.xlsm]"&amp;jpx400chart[[#This Row],[コード]]&amp;"'!"&amp;"tbl"&amp;jpx400chart[[#This Row],[コード]]&amp;"_[#見出し]"</f>
        <v>'[jpx400_data.xlsm]7733'!tbl7733_[#見出し]</v>
      </c>
      <c r="E271" t="str" cm="1">
        <f t="array" ref="E271">_xll.RssChartPast(INDIRECT(jpx400chart[[#This Row],[ヘッダー行]]), jpx400chart[[#This Row],[コード]], "D",20160401,3000)</f>
        <v>=RssChartPast(INDIRECT([@ヘッダー行]), [@コード], "D",20160401,3000) =&gt; 完了</v>
      </c>
    </row>
    <row r="272" spans="1:5" x14ac:dyDescent="0.45">
      <c r="A272">
        <f>_400_j_pdf[[#This Row],[コード]]</f>
        <v>7735</v>
      </c>
      <c r="B272" t="str" cm="1">
        <f t="array" ref="B272">_xll.RssMarket(jpx400chart[[#This Row],[コード]],jpx400chart[[#Headers],[銘柄名称]])</f>
        <v>ＳＣＲＥＥＮホールディングス</v>
      </c>
      <c r="C272" cm="1">
        <f t="array" ref="C272">_xll.RssMarket(jpx400chart[[#This Row],[コード]],jpx400chart[[#Headers],[現在値]])</f>
        <v>19250</v>
      </c>
      <c r="D272" t="str">
        <f>"'[jpx400_data.xlsm]"&amp;jpx400chart[[#This Row],[コード]]&amp;"'!"&amp;"tbl"&amp;jpx400chart[[#This Row],[コード]]&amp;"_[#見出し]"</f>
        <v>'[jpx400_data.xlsm]7735'!tbl7735_[#見出し]</v>
      </c>
      <c r="E272" t="str" cm="1">
        <f t="array" ref="E272">_xll.RssChartPast(INDIRECT(jpx400chart[[#This Row],[ヘッダー行]]), jpx400chart[[#This Row],[コード]], "D",20160401,3000)</f>
        <v>=RssChartPast(INDIRECT([@ヘッダー行]), [@コード], "D",20160401,3000) =&gt; 完了</v>
      </c>
    </row>
    <row r="273" spans="1:5" x14ac:dyDescent="0.45">
      <c r="A273">
        <f>_400_j_pdf[[#This Row],[コード]]</f>
        <v>7740</v>
      </c>
      <c r="B273" t="str" cm="1">
        <f t="array" ref="B273">_xll.RssMarket(jpx400chart[[#This Row],[コード]],jpx400chart[[#Headers],[銘柄名称]])</f>
        <v>タムロン</v>
      </c>
      <c r="C273" cm="1">
        <f t="array" ref="C273">_xll.RssMarket(jpx400chart[[#This Row],[コード]],jpx400chart[[#Headers],[現在値]])</f>
        <v>1035</v>
      </c>
      <c r="D273" t="str">
        <f>"'[jpx400_data.xlsm]"&amp;jpx400chart[[#This Row],[コード]]&amp;"'!"&amp;"tbl"&amp;jpx400chart[[#This Row],[コード]]&amp;"_[#見出し]"</f>
        <v>'[jpx400_data.xlsm]7740'!tbl7740_[#見出し]</v>
      </c>
      <c r="E273" t="str" cm="1">
        <f t="array" ref="E273">_xll.RssChartPast(INDIRECT(jpx400chart[[#This Row],[ヘッダー行]]), jpx400chart[[#This Row],[コード]], "D",20160401,3000)</f>
        <v>=RssChartPast(INDIRECT([@ヘッダー行]), [@コード], "D",20160401,3000) =&gt; 完了</v>
      </c>
    </row>
    <row r="274" spans="1:5" x14ac:dyDescent="0.45">
      <c r="A274">
        <f>_400_j_pdf[[#This Row],[コード]]</f>
        <v>7741</v>
      </c>
      <c r="B274" t="str" cm="1">
        <f t="array" ref="B274">_xll.RssMarket(jpx400chart[[#This Row],[コード]],jpx400chart[[#Headers],[銘柄名称]])</f>
        <v>ＨＯＹＡ</v>
      </c>
      <c r="C274" cm="1">
        <f t="array" ref="C274">_xll.RssMarket(jpx400chart[[#This Row],[コード]],jpx400chart[[#Headers],[現在値]])</f>
        <v>25125</v>
      </c>
      <c r="D274" t="str">
        <f>"'[jpx400_data.xlsm]"&amp;jpx400chart[[#This Row],[コード]]&amp;"'!"&amp;"tbl"&amp;jpx400chart[[#This Row],[コード]]&amp;"_[#見出し]"</f>
        <v>'[jpx400_data.xlsm]7741'!tbl7741_[#見出し]</v>
      </c>
      <c r="E274" t="str" cm="1">
        <f t="array" ref="E274">_xll.RssChartPast(INDIRECT(jpx400chart[[#This Row],[ヘッダー行]]), jpx400chart[[#This Row],[コード]], "D",20160401,3000)</f>
        <v>=RssChartPast(INDIRECT([@ヘッダー行]), [@コード], "D",20160401,3000) =&gt; 完了</v>
      </c>
    </row>
    <row r="275" spans="1:5" x14ac:dyDescent="0.45">
      <c r="A275">
        <f>_400_j_pdf[[#This Row],[コード]]</f>
        <v>7744</v>
      </c>
      <c r="B275" t="str" cm="1">
        <f t="array" ref="B275">_xll.RssMarket(jpx400chart[[#This Row],[コード]],jpx400chart[[#Headers],[銘柄名称]])</f>
        <v>ノーリツ鋼機</v>
      </c>
      <c r="C275" cm="1">
        <f t="array" ref="C275">_xll.RssMarket(jpx400chart[[#This Row],[コード]],jpx400chart[[#Headers],[現在値]])</f>
        <v>2116</v>
      </c>
      <c r="D275" t="str">
        <f>"'[jpx400_data.xlsm]"&amp;jpx400chart[[#This Row],[コード]]&amp;"'!"&amp;"tbl"&amp;jpx400chart[[#This Row],[コード]]&amp;"_[#見出し]"</f>
        <v>'[jpx400_data.xlsm]7744'!tbl7744_[#見出し]</v>
      </c>
      <c r="E275" t="str" cm="1">
        <f t="array" ref="E275">_xll.RssChartPast(INDIRECT(jpx400chart[[#This Row],[ヘッダー行]]), jpx400chart[[#This Row],[コード]], "D",20160401,3000)</f>
        <v>=RssChartPast(INDIRECT([@ヘッダー行]), [@コード], "D",20160401,3000) =&gt; 完了</v>
      </c>
    </row>
    <row r="276" spans="1:5" x14ac:dyDescent="0.45">
      <c r="A276">
        <f>_400_j_pdf[[#This Row],[コード]]</f>
        <v>7747</v>
      </c>
      <c r="B276" t="str" cm="1">
        <f t="array" ref="B276">_xll.RssMarket(jpx400chart[[#This Row],[コード]],jpx400chart[[#Headers],[銘柄名称]])</f>
        <v>朝日インテック</v>
      </c>
      <c r="C276" cm="1">
        <f t="array" ref="C276">_xll.RssMarket(jpx400chart[[#This Row],[コード]],jpx400chart[[#Headers],[現在値]])</f>
        <v>2716</v>
      </c>
      <c r="D276" t="str">
        <f>"'[jpx400_data.xlsm]"&amp;jpx400chart[[#This Row],[コード]]&amp;"'!"&amp;"tbl"&amp;jpx400chart[[#This Row],[コード]]&amp;"_[#見出し]"</f>
        <v>'[jpx400_data.xlsm]7747'!tbl7747_[#見出し]</v>
      </c>
      <c r="E276" t="str" cm="1">
        <f t="array" ref="E276">_xll.RssChartPast(INDIRECT(jpx400chart[[#This Row],[ヘッダー行]]), jpx400chart[[#This Row],[コード]], "D",20160401,3000)</f>
        <v>=RssChartPast(INDIRECT([@ヘッダー行]), [@コード], "D",20160401,3000) =&gt; 完了</v>
      </c>
    </row>
    <row r="277" spans="1:5" x14ac:dyDescent="0.45">
      <c r="A277">
        <f>_400_j_pdf[[#This Row],[コード]]</f>
        <v>7751</v>
      </c>
      <c r="B277" t="str" cm="1">
        <f t="array" ref="B277">_xll.RssMarket(jpx400chart[[#This Row],[コード]],jpx400chart[[#Headers],[銘柄名称]])</f>
        <v>キヤノン</v>
      </c>
      <c r="C277" cm="1">
        <f t="array" ref="C277">_xll.RssMarket(jpx400chart[[#This Row],[コード]],jpx400chart[[#Headers],[現在値]])</f>
        <v>4511</v>
      </c>
      <c r="D277" t="str">
        <f>"'[jpx400_data.xlsm]"&amp;jpx400chart[[#This Row],[コード]]&amp;"'!"&amp;"tbl"&amp;jpx400chart[[#This Row],[コード]]&amp;"_[#見出し]"</f>
        <v>'[jpx400_data.xlsm]7751'!tbl7751_[#見出し]</v>
      </c>
      <c r="E277" t="str" cm="1">
        <f t="array" ref="E277">_xll.RssChartPast(INDIRECT(jpx400chart[[#This Row],[ヘッダー行]]), jpx400chart[[#This Row],[コード]], "D",20160401,3000)</f>
        <v>=RssChartPast(INDIRECT([@ヘッダー行]), [@コード], "D",20160401,3000) =&gt; 完了</v>
      </c>
    </row>
    <row r="278" spans="1:5" x14ac:dyDescent="0.45">
      <c r="A278">
        <f>_400_j_pdf[[#This Row],[コード]]</f>
        <v>7762</v>
      </c>
      <c r="B278" t="str" cm="1">
        <f t="array" ref="B278">_xll.RssMarket(jpx400chart[[#This Row],[コード]],jpx400chart[[#Headers],[銘柄名称]])</f>
        <v>シチズン時計</v>
      </c>
      <c r="C278" cm="1">
        <f t="array" ref="C278">_xll.RssMarket(jpx400chart[[#This Row],[コード]],jpx400chart[[#Headers],[現在値]])</f>
        <v>1354</v>
      </c>
      <c r="D278" t="str">
        <f>"'[jpx400_data.xlsm]"&amp;jpx400chart[[#This Row],[コード]]&amp;"'!"&amp;"tbl"&amp;jpx400chart[[#This Row],[コード]]&amp;"_[#見出し]"</f>
        <v>'[jpx400_data.xlsm]7762'!tbl7762_[#見出し]</v>
      </c>
      <c r="E278" t="str" cm="1">
        <f t="array" ref="E278">_xll.RssChartPast(INDIRECT(jpx400chart[[#This Row],[ヘッダー行]]), jpx400chart[[#This Row],[コード]], "D",20160401,3000)</f>
        <v>=RssChartPast(INDIRECT([@ヘッダー行]), [@コード], "D",20160401,3000) =&gt; 完了</v>
      </c>
    </row>
    <row r="279" spans="1:5" x14ac:dyDescent="0.45">
      <c r="A279">
        <f>_400_j_pdf[[#This Row],[コード]]</f>
        <v>7832</v>
      </c>
      <c r="B279" t="str" cm="1">
        <f t="array" ref="B279">_xll.RssMarket(jpx400chart[[#This Row],[コード]],jpx400chart[[#Headers],[銘柄名称]])</f>
        <v>バンダイナムコＨＬＤＧＳ</v>
      </c>
      <c r="C279" cm="1">
        <f t="array" ref="C279">_xll.RssMarket(jpx400chart[[#This Row],[コード]],jpx400chart[[#Headers],[現在値]])</f>
        <v>4008</v>
      </c>
      <c r="D279" t="str">
        <f>"'[jpx400_data.xlsm]"&amp;jpx400chart[[#This Row],[コード]]&amp;"'!"&amp;"tbl"&amp;jpx400chart[[#This Row],[コード]]&amp;"_[#見出し]"</f>
        <v>'[jpx400_data.xlsm]7832'!tbl7832_[#見出し]</v>
      </c>
      <c r="E279" t="str" cm="1">
        <f t="array" ref="E279">_xll.RssChartPast(INDIRECT(jpx400chart[[#This Row],[ヘッダー行]]), jpx400chart[[#This Row],[コード]], "D",20160401,3000)</f>
        <v>=RssChartPast(INDIRECT([@ヘッダー行]), [@コード], "D",20160401,3000) =&gt; 完了</v>
      </c>
    </row>
    <row r="280" spans="1:5" x14ac:dyDescent="0.45">
      <c r="A280">
        <f>_400_j_pdf[[#This Row],[コード]]</f>
        <v>7846</v>
      </c>
      <c r="B280" t="str" cm="1">
        <f t="array" ref="B280">_xll.RssMarket(jpx400chart[[#This Row],[コード]],jpx400chart[[#Headers],[銘柄名称]])</f>
        <v>パイロットコーポレーション</v>
      </c>
      <c r="C280" cm="1">
        <f t="array" ref="C280">_xll.RssMarket(jpx400chart[[#This Row],[コード]],jpx400chart[[#Headers],[現在値]])</f>
        <v>4889</v>
      </c>
      <c r="D280" t="str">
        <f>"'[jpx400_data.xlsm]"&amp;jpx400chart[[#This Row],[コード]]&amp;"'!"&amp;"tbl"&amp;jpx400chart[[#This Row],[コード]]&amp;"_[#見出し]"</f>
        <v>'[jpx400_data.xlsm]7846'!tbl7846_[#見出し]</v>
      </c>
      <c r="E280" t="str" cm="1">
        <f t="array" ref="E280">_xll.RssChartPast(INDIRECT(jpx400chart[[#This Row],[ヘッダー行]]), jpx400chart[[#This Row],[コード]], "D",20160401,3000)</f>
        <v>=RssChartPast(INDIRECT([@ヘッダー行]), [@コード], "D",20160401,3000) =&gt; 完了</v>
      </c>
    </row>
    <row r="281" spans="1:5" x14ac:dyDescent="0.45">
      <c r="A281">
        <f>_400_j_pdf[[#This Row],[コード]]</f>
        <v>7867</v>
      </c>
      <c r="B281" t="str" cm="1">
        <f t="array" ref="B281">_xll.RssMarket(jpx400chart[[#This Row],[コード]],jpx400chart[[#Headers],[銘柄名称]])</f>
        <v>タカラトミー</v>
      </c>
      <c r="C281" cm="1">
        <f t="array" ref="C281">_xll.RssMarket(jpx400chart[[#This Row],[コード]],jpx400chart[[#Headers],[現在値]])</f>
        <v>2769.5</v>
      </c>
      <c r="D281" t="str">
        <f>"'[jpx400_data.xlsm]"&amp;jpx400chart[[#This Row],[コード]]&amp;"'!"&amp;"tbl"&amp;jpx400chart[[#This Row],[コード]]&amp;"_[#見出し]"</f>
        <v>'[jpx400_data.xlsm]7867'!tbl7867_[#見出し]</v>
      </c>
      <c r="E281" t="str" cm="1">
        <f t="array" ref="E281">_xll.RssChartPast(INDIRECT(jpx400chart[[#This Row],[ヘッダー行]]), jpx400chart[[#This Row],[コード]], "D",20160401,3000)</f>
        <v>=RssChartPast(INDIRECT([@ヘッダー行]), [@コード], "D",20160401,3000) =&gt; 完了</v>
      </c>
    </row>
    <row r="282" spans="1:5" x14ac:dyDescent="0.45">
      <c r="A282">
        <f>_400_j_pdf[[#This Row],[コード]]</f>
        <v>7906</v>
      </c>
      <c r="B282" t="str" cm="1">
        <f t="array" ref="B282">_xll.RssMarket(jpx400chart[[#This Row],[コード]],jpx400chart[[#Headers],[銘柄名称]])</f>
        <v>ヨネックス</v>
      </c>
      <c r="C282" cm="1">
        <f t="array" ref="C282">_xll.RssMarket(jpx400chart[[#This Row],[コード]],jpx400chart[[#Headers],[現在値]])</f>
        <v>3300</v>
      </c>
      <c r="D282" t="str">
        <f>"'[jpx400_data.xlsm]"&amp;jpx400chart[[#This Row],[コード]]&amp;"'!"&amp;"tbl"&amp;jpx400chart[[#This Row],[コード]]&amp;"_[#見出し]"</f>
        <v>'[jpx400_data.xlsm]7906'!tbl7906_[#見出し]</v>
      </c>
      <c r="E282" t="str" cm="1">
        <f t="array" ref="E282">_xll.RssChartPast(INDIRECT(jpx400chart[[#This Row],[ヘッダー行]]), jpx400chart[[#This Row],[コード]], "D",20160401,3000)</f>
        <v>=RssChartPast(INDIRECT([@ヘッダー行]), [@コード], "D",20160401,3000) =&gt; 完了</v>
      </c>
    </row>
    <row r="283" spans="1:5" x14ac:dyDescent="0.45">
      <c r="A283">
        <f>_400_j_pdf[[#This Row],[コード]]</f>
        <v>7912</v>
      </c>
      <c r="B283" t="str" cm="1">
        <f t="array" ref="B283">_xll.RssMarket(jpx400chart[[#This Row],[コード]],jpx400chart[[#Headers],[銘柄名称]])</f>
        <v>大日本印刷</v>
      </c>
      <c r="C283" cm="1">
        <f t="array" ref="C283">_xll.RssMarket(jpx400chart[[#This Row],[コード]],jpx400chart[[#Headers],[現在値]])</f>
        <v>2818.5</v>
      </c>
      <c r="D283" t="str">
        <f>"'[jpx400_data.xlsm]"&amp;jpx400chart[[#This Row],[コード]]&amp;"'!"&amp;"tbl"&amp;jpx400chart[[#This Row],[コード]]&amp;"_[#見出し]"</f>
        <v>'[jpx400_data.xlsm]7912'!tbl7912_[#見出し]</v>
      </c>
      <c r="E283" t="str" cm="1">
        <f t="array" ref="E283">_xll.RssChartPast(INDIRECT(jpx400chart[[#This Row],[ヘッダー行]]), jpx400chart[[#This Row],[コード]], "D",20160401,3000)</f>
        <v>=RssChartPast(INDIRECT([@ヘッダー行]), [@コード], "D",20160401,3000) =&gt; 完了</v>
      </c>
    </row>
    <row r="284" spans="1:5" x14ac:dyDescent="0.45">
      <c r="A284">
        <f>_400_j_pdf[[#This Row],[コード]]</f>
        <v>7936</v>
      </c>
      <c r="B284" t="str" cm="1">
        <f t="array" ref="B284">_xll.RssMarket(jpx400chart[[#This Row],[コード]],jpx400chart[[#Headers],[銘柄名称]])</f>
        <v>アシックス</v>
      </c>
      <c r="C284" cm="1">
        <f t="array" ref="C284">_xll.RssMarket(jpx400chart[[#This Row],[コード]],jpx400chart[[#Headers],[現在値]])</f>
        <v>3858</v>
      </c>
      <c r="D284" t="str">
        <f>"'[jpx400_data.xlsm]"&amp;jpx400chart[[#This Row],[コード]]&amp;"'!"&amp;"tbl"&amp;jpx400chart[[#This Row],[コード]]&amp;"_[#見出し]"</f>
        <v>'[jpx400_data.xlsm]7936'!tbl7936_[#見出し]</v>
      </c>
      <c r="E284" t="str" cm="1">
        <f t="array" ref="E284">_xll.RssChartPast(INDIRECT(jpx400chart[[#This Row],[ヘッダー行]]), jpx400chart[[#This Row],[コード]], "D",20160401,3000)</f>
        <v>=RssChartPast(INDIRECT([@ヘッダー行]), [@コード], "D",20160401,3000) =&gt; 完了</v>
      </c>
    </row>
    <row r="285" spans="1:5" x14ac:dyDescent="0.45">
      <c r="A285">
        <f>_400_j_pdf[[#This Row],[コード]]</f>
        <v>7944</v>
      </c>
      <c r="B285" t="str" cm="1">
        <f t="array" ref="B285">_xll.RssMarket(jpx400chart[[#This Row],[コード]],jpx400chart[[#Headers],[銘柄名称]])</f>
        <v>ローランド</v>
      </c>
      <c r="C285" cm="1">
        <f t="array" ref="C285">_xll.RssMarket(jpx400chart[[#This Row],[コード]],jpx400chart[[#Headers],[現在値]])</f>
        <v>3830</v>
      </c>
      <c r="D285" t="str">
        <f>"'[jpx400_data.xlsm]"&amp;jpx400chart[[#This Row],[コード]]&amp;"'!"&amp;"tbl"&amp;jpx400chart[[#This Row],[コード]]&amp;"_[#見出し]"</f>
        <v>'[jpx400_data.xlsm]7944'!tbl7944_[#見出し]</v>
      </c>
      <c r="E285" t="str" cm="1">
        <f t="array" ref="E285">_xll.RssChartPast(INDIRECT(jpx400chart[[#This Row],[ヘッダー行]]), jpx400chart[[#This Row],[コード]], "D",20160401,3000)</f>
        <v>=RssChartPast(INDIRECT([@ヘッダー行]), [@コード], "D",20160401,3000) =&gt; 完了</v>
      </c>
    </row>
    <row r="286" spans="1:5" x14ac:dyDescent="0.45">
      <c r="A286">
        <f>_400_j_pdf[[#This Row],[コード]]</f>
        <v>7951</v>
      </c>
      <c r="B286" t="str" cm="1">
        <f t="array" ref="B286">_xll.RssMarket(jpx400chart[[#This Row],[コード]],jpx400chart[[#Headers],[銘柄名称]])</f>
        <v>ヤマハ</v>
      </c>
      <c r="C286" cm="1">
        <f t="array" ref="C286">_xll.RssMarket(jpx400chart[[#This Row],[コード]],jpx400chart[[#Headers],[現在値]])</f>
        <v>1116</v>
      </c>
      <c r="D286" t="str">
        <f>"'[jpx400_data.xlsm]"&amp;jpx400chart[[#This Row],[コード]]&amp;"'!"&amp;"tbl"&amp;jpx400chart[[#This Row],[コード]]&amp;"_[#見出し]"</f>
        <v>'[jpx400_data.xlsm]7951'!tbl7951_[#見出し]</v>
      </c>
      <c r="E286" t="str" cm="1">
        <f t="array" ref="E286">_xll.RssChartPast(INDIRECT(jpx400chart[[#This Row],[ヘッダー行]]), jpx400chart[[#This Row],[コード]], "D",20160401,3000)</f>
        <v>=RssChartPast(INDIRECT([@ヘッダー行]), [@コード], "D",20160401,3000) =&gt; 完了</v>
      </c>
    </row>
    <row r="287" spans="1:5" x14ac:dyDescent="0.45">
      <c r="A287">
        <f>_400_j_pdf[[#This Row],[コード]]</f>
        <v>7974</v>
      </c>
      <c r="B287" t="str" cm="1">
        <f t="array" ref="B287">_xll.RssMarket(jpx400chart[[#This Row],[コード]],jpx400chart[[#Headers],[銘柄名称]])</f>
        <v>任天堂</v>
      </c>
      <c r="C287" cm="1">
        <f t="array" ref="C287">_xll.RssMarket(jpx400chart[[#This Row],[コード]],jpx400chart[[#Headers],[現在値]])</f>
        <v>10375</v>
      </c>
      <c r="D287" t="str">
        <f>"'[jpx400_data.xlsm]"&amp;jpx400chart[[#This Row],[コード]]&amp;"'!"&amp;"tbl"&amp;jpx400chart[[#This Row],[コード]]&amp;"_[#見出し]"</f>
        <v>'[jpx400_data.xlsm]7974'!tbl7974_[#見出し]</v>
      </c>
      <c r="E287" t="str" cm="1">
        <f t="array" ref="E287">_xll.RssChartPast(INDIRECT(jpx400chart[[#This Row],[ヘッダー行]]), jpx400chart[[#This Row],[コード]], "D",20160401,3000)</f>
        <v>=RssChartPast(INDIRECT([@ヘッダー行]), [@コード], "D",20160401,3000) =&gt; 完了</v>
      </c>
    </row>
    <row r="288" spans="1:5" x14ac:dyDescent="0.45">
      <c r="A288">
        <f>_400_j_pdf[[#This Row],[コード]]</f>
        <v>7988</v>
      </c>
      <c r="B288" t="str" cm="1">
        <f t="array" ref="B288">_xll.RssMarket(jpx400chart[[#This Row],[コード]],jpx400chart[[#Headers],[銘柄名称]])</f>
        <v>ニフコ</v>
      </c>
      <c r="C288" cm="1">
        <f t="array" ref="C288">_xll.RssMarket(jpx400chart[[#This Row],[コード]],jpx400chart[[#Headers],[現在値]])</f>
        <v>4877</v>
      </c>
      <c r="D288" t="str">
        <f>"'[jpx400_data.xlsm]"&amp;jpx400chart[[#This Row],[コード]]&amp;"'!"&amp;"tbl"&amp;jpx400chart[[#This Row],[コード]]&amp;"_[#見出し]"</f>
        <v>'[jpx400_data.xlsm]7988'!tbl7988_[#見出し]</v>
      </c>
      <c r="E288" t="str" cm="1">
        <f t="array" ref="E288">_xll.RssChartPast(INDIRECT(jpx400chart[[#This Row],[ヘッダー行]]), jpx400chart[[#This Row],[コード]], "D",20160401,3000)</f>
        <v>=RssChartPast(INDIRECT([@ヘッダー行]), [@コード], "D",20160401,3000) =&gt; 完了</v>
      </c>
    </row>
    <row r="289" spans="1:5" x14ac:dyDescent="0.45">
      <c r="A289">
        <f>_400_j_pdf[[#This Row],[コード]]</f>
        <v>7994</v>
      </c>
      <c r="B289" t="str" cm="1">
        <f t="array" ref="B289">_xll.RssMarket(jpx400chart[[#This Row],[コード]],jpx400chart[[#Headers],[銘柄名称]])</f>
        <v>オカムラ</v>
      </c>
      <c r="C289" cm="1">
        <f t="array" ref="C289">_xll.RssMarket(jpx400chart[[#This Row],[コード]],jpx400chart[[#Headers],[現在値]])</f>
        <v>2368</v>
      </c>
      <c r="D289" t="str">
        <f>"'[jpx400_data.xlsm]"&amp;jpx400chart[[#This Row],[コード]]&amp;"'!"&amp;"tbl"&amp;jpx400chart[[#This Row],[コード]]&amp;"_[#見出し]"</f>
        <v>'[jpx400_data.xlsm]7994'!tbl7994_[#見出し]</v>
      </c>
      <c r="E289" t="str" cm="1">
        <f t="array" ref="E289">_xll.RssChartPast(INDIRECT(jpx400chart[[#This Row],[ヘッダー行]]), jpx400chart[[#This Row],[コード]], "D",20160401,3000)</f>
        <v>=RssChartPast(INDIRECT([@ヘッダー行]), [@コード], "D",20160401,3000) =&gt; 完了</v>
      </c>
    </row>
    <row r="290" spans="1:5" x14ac:dyDescent="0.45">
      <c r="A290">
        <f>_400_j_pdf[[#This Row],[コード]]</f>
        <v>8001</v>
      </c>
      <c r="B290" t="str" cm="1">
        <f t="array" ref="B290">_xll.RssMarket(jpx400chart[[#This Row],[コード]],jpx400chart[[#Headers],[銘柄名称]])</f>
        <v>伊藤忠</v>
      </c>
      <c r="C290" cm="1">
        <f t="array" ref="C290">_xll.RssMarket(jpx400chart[[#This Row],[コード]],jpx400chart[[#Headers],[現在値]])</f>
        <v>1973</v>
      </c>
      <c r="D290" t="str">
        <f>"'[jpx400_data.xlsm]"&amp;jpx400chart[[#This Row],[コード]]&amp;"'!"&amp;"tbl"&amp;jpx400chart[[#This Row],[コード]]&amp;"_[#見出し]"</f>
        <v>'[jpx400_data.xlsm]8001'!tbl8001_[#見出し]</v>
      </c>
      <c r="E290" t="str" cm="1">
        <f t="array" ref="E290">_xll.RssChartPast(INDIRECT(jpx400chart[[#This Row],[ヘッダー行]]), jpx400chart[[#This Row],[コード]], "D",20160401,3000)</f>
        <v>=RssChartPast(INDIRECT([@ヘッダー行]), [@コード], "D",20160401,3000) =&gt; 完了</v>
      </c>
    </row>
    <row r="291" spans="1:5" x14ac:dyDescent="0.45">
      <c r="A291">
        <f>_400_j_pdf[[#This Row],[コード]]</f>
        <v>8002</v>
      </c>
      <c r="B291" t="str" cm="1">
        <f t="array" ref="B291">_xll.RssMarket(jpx400chart[[#This Row],[コード]],jpx400chart[[#Headers],[銘柄名称]])</f>
        <v>丸紅</v>
      </c>
      <c r="C291" cm="1">
        <f t="array" ref="C291">_xll.RssMarket(jpx400chart[[#This Row],[コード]],jpx400chart[[#Headers],[現在値]])</f>
        <v>5076</v>
      </c>
      <c r="D291" t="str">
        <f>"'[jpx400_data.xlsm]"&amp;jpx400chart[[#This Row],[コード]]&amp;"'!"&amp;"tbl"&amp;jpx400chart[[#This Row],[コード]]&amp;"_[#見出し]"</f>
        <v>'[jpx400_data.xlsm]8002'!tbl8002_[#見出し]</v>
      </c>
      <c r="E291" t="str" cm="1">
        <f t="array" ref="E291">_xll.RssChartPast(INDIRECT(jpx400chart[[#This Row],[ヘッダー行]]), jpx400chart[[#This Row],[コード]], "D",20160401,3000)</f>
        <v>=RssChartPast(INDIRECT([@ヘッダー行]), [@コード], "D",20160401,3000) =&gt; 完了</v>
      </c>
    </row>
    <row r="292" spans="1:5" x14ac:dyDescent="0.45">
      <c r="A292">
        <f>_400_j_pdf[[#This Row],[コード]]</f>
        <v>8015</v>
      </c>
      <c r="B292" t="str" cm="1">
        <f t="array" ref="B292">_xll.RssMarket(jpx400chart[[#This Row],[コード]],jpx400chart[[#Headers],[銘柄名称]])</f>
        <v>豊田通商</v>
      </c>
      <c r="C292" cm="1">
        <f t="array" ref="C292">_xll.RssMarket(jpx400chart[[#This Row],[コード]],jpx400chart[[#Headers],[現在値]])</f>
        <v>5657</v>
      </c>
      <c r="D292" t="str">
        <f>"'[jpx400_data.xlsm]"&amp;jpx400chart[[#This Row],[コード]]&amp;"'!"&amp;"tbl"&amp;jpx400chart[[#This Row],[コード]]&amp;"_[#見出し]"</f>
        <v>'[jpx400_data.xlsm]8015'!tbl8015_[#見出し]</v>
      </c>
      <c r="E292" t="str" cm="1">
        <f t="array" ref="E292">_xll.RssChartPast(INDIRECT(jpx400chart[[#This Row],[ヘッダー行]]), jpx400chart[[#This Row],[コード]], "D",20160401,3000)</f>
        <v>=RssChartPast(INDIRECT([@ヘッダー行]), [@コード], "D",20160401,3000) =&gt; 完了</v>
      </c>
    </row>
    <row r="293" spans="1:5" x14ac:dyDescent="0.45">
      <c r="A293">
        <f>_400_j_pdf[[#This Row],[コード]]</f>
        <v>8020</v>
      </c>
      <c r="B293" t="str" cm="1">
        <f t="array" ref="B293">_xll.RssMarket(jpx400chart[[#This Row],[コード]],jpx400chart[[#Headers],[銘柄名称]])</f>
        <v>兼松</v>
      </c>
      <c r="C293" cm="1">
        <f t="array" ref="C293">_xll.RssMarket(jpx400chart[[#This Row],[コード]],jpx400chart[[#Headers],[現在値]])</f>
        <v>2020</v>
      </c>
      <c r="D293" t="str">
        <f>"'[jpx400_data.xlsm]"&amp;jpx400chart[[#This Row],[コード]]&amp;"'!"&amp;"tbl"&amp;jpx400chart[[#This Row],[コード]]&amp;"_[#見出し]"</f>
        <v>'[jpx400_data.xlsm]8020'!tbl8020_[#見出し]</v>
      </c>
      <c r="E293" t="str" cm="1">
        <f t="array" ref="E293">_xll.RssChartPast(INDIRECT(jpx400chart[[#This Row],[ヘッダー行]]), jpx400chart[[#This Row],[コード]], "D",20160401,3000)</f>
        <v>=RssChartPast(INDIRECT([@ヘッダー行]), [@コード], "D",20160401,3000) =&gt; 完了</v>
      </c>
    </row>
    <row r="294" spans="1:5" x14ac:dyDescent="0.45">
      <c r="A294">
        <f>_400_j_pdf[[#This Row],[コード]]</f>
        <v>8031</v>
      </c>
      <c r="B294" t="str" cm="1">
        <f t="array" ref="B294">_xll.RssMarket(jpx400chart[[#This Row],[コード]],jpx400chart[[#Headers],[銘柄名称]])</f>
        <v>三井物産</v>
      </c>
      <c r="C294" cm="1">
        <f t="array" ref="C294">_xll.RssMarket(jpx400chart[[#This Row],[コード]],jpx400chart[[#Headers],[現在値]])</f>
        <v>5016</v>
      </c>
      <c r="D294" t="str">
        <f>"'[jpx400_data.xlsm]"&amp;jpx400chart[[#This Row],[コード]]&amp;"'!"&amp;"tbl"&amp;jpx400chart[[#This Row],[コード]]&amp;"_[#見出し]"</f>
        <v>'[jpx400_data.xlsm]8031'!tbl8031_[#見出し]</v>
      </c>
      <c r="E294" t="str" cm="1">
        <f t="array" ref="E294">_xll.RssChartPast(INDIRECT(jpx400chart[[#This Row],[ヘッダー行]]), jpx400chart[[#This Row],[コード]], "D",20160401,3000)</f>
        <v>=RssChartPast(INDIRECT([@ヘッダー行]), [@コード], "D",20160401,3000) =&gt; 完了</v>
      </c>
    </row>
    <row r="295" spans="1:5" x14ac:dyDescent="0.45">
      <c r="A295">
        <f>_400_j_pdf[[#This Row],[コード]]</f>
        <v>8035</v>
      </c>
      <c r="B295" t="str" cm="1">
        <f t="array" ref="B295">_xll.RssMarket(jpx400chart[[#This Row],[コード]],jpx400chart[[#Headers],[銘柄名称]])</f>
        <v>東京エレクトロン</v>
      </c>
      <c r="C295" cm="1">
        <f t="array" ref="C295">_xll.RssMarket(jpx400chart[[#This Row],[コード]],jpx400chart[[#Headers],[現在値]])</f>
        <v>42130</v>
      </c>
      <c r="D295" t="str">
        <f>"'[jpx400_data.xlsm]"&amp;jpx400chart[[#This Row],[コード]]&amp;"'!"&amp;"tbl"&amp;jpx400chart[[#This Row],[コード]]&amp;"_[#見出し]"</f>
        <v>'[jpx400_data.xlsm]8035'!tbl8035_[#見出し]</v>
      </c>
      <c r="E295" t="str" cm="1">
        <f t="array" ref="E295">_xll.RssChartPast(INDIRECT(jpx400chart[[#This Row],[ヘッダー行]]), jpx400chart[[#This Row],[コード]], "D",20160401,3000)</f>
        <v>=RssChartPast(INDIRECT([@ヘッダー行]), [@コード], "D",20160401,3000) =&gt; 完了</v>
      </c>
    </row>
    <row r="296" spans="1:5" x14ac:dyDescent="0.45">
      <c r="A296">
        <f>_400_j_pdf[[#This Row],[コード]]</f>
        <v>8053</v>
      </c>
      <c r="B296" t="str" cm="1">
        <f t="array" ref="B296">_xll.RssMarket(jpx400chart[[#This Row],[コード]],jpx400chart[[#Headers],[銘柄名称]])</f>
        <v>住友商事</v>
      </c>
      <c r="C296" cm="1">
        <f t="array" ref="C296">_xll.RssMarket(jpx400chart[[#This Row],[コード]],jpx400chart[[#Headers],[現在値]])</f>
        <v>6230</v>
      </c>
      <c r="D296" t="str">
        <f>"'[jpx400_data.xlsm]"&amp;jpx400chart[[#This Row],[コード]]&amp;"'!"&amp;"tbl"&amp;jpx400chart[[#This Row],[コード]]&amp;"_[#見出し]"</f>
        <v>'[jpx400_data.xlsm]8053'!tbl8053_[#見出し]</v>
      </c>
      <c r="E296" t="str" cm="1">
        <f t="array" ref="E296">_xll.RssChartPast(INDIRECT(jpx400chart[[#This Row],[ヘッダー行]]), jpx400chart[[#This Row],[コード]], "D",20160401,3000)</f>
        <v>=RssChartPast(INDIRECT([@ヘッダー行]), [@コード], "D",20160401,3000) =&gt; 完了</v>
      </c>
    </row>
    <row r="297" spans="1:5" x14ac:dyDescent="0.45">
      <c r="A297">
        <f>_400_j_pdf[[#This Row],[コード]]</f>
        <v>8056</v>
      </c>
      <c r="B297" t="str" cm="1">
        <f t="array" ref="B297">_xll.RssMarket(jpx400chart[[#This Row],[コード]],jpx400chart[[#Headers],[銘柄名称]])</f>
        <v>ＢＩＰＲＯＧＹ</v>
      </c>
      <c r="C297" cm="1">
        <f t="array" ref="C297">_xll.RssMarket(jpx400chart[[#This Row],[コード]],jpx400chart[[#Headers],[現在値]])</f>
        <v>5249</v>
      </c>
      <c r="D297" t="str">
        <f>"'[jpx400_data.xlsm]"&amp;jpx400chart[[#This Row],[コード]]&amp;"'!"&amp;"tbl"&amp;jpx400chart[[#This Row],[コード]]&amp;"_[#見出し]"</f>
        <v>'[jpx400_data.xlsm]8056'!tbl8056_[#見出し]</v>
      </c>
      <c r="E297" t="str" cm="1">
        <f t="array" ref="E297">_xll.RssChartPast(INDIRECT(jpx400chart[[#This Row],[ヘッダー行]]), jpx400chart[[#This Row],[コード]], "D",20160401,3000)</f>
        <v>=RssChartPast(INDIRECT([@ヘッダー行]), [@コード], "D",20160401,3000) =&gt; 完了</v>
      </c>
    </row>
    <row r="298" spans="1:5" x14ac:dyDescent="0.45">
      <c r="A298">
        <f>_400_j_pdf[[#This Row],[コード]]</f>
        <v>8058</v>
      </c>
      <c r="B298" t="str" cm="1">
        <f t="array" ref="B298">_xll.RssMarket(jpx400chart[[#This Row],[コード]],jpx400chart[[#Headers],[銘柄名称]])</f>
        <v>三菱商事</v>
      </c>
      <c r="C298" cm="1">
        <f t="array" ref="C298">_xll.RssMarket(jpx400chart[[#This Row],[コード]],jpx400chart[[#Headers],[現在値]])</f>
        <v>4008</v>
      </c>
      <c r="D298" t="str">
        <f>"'[jpx400_data.xlsm]"&amp;jpx400chart[[#This Row],[コード]]&amp;"'!"&amp;"tbl"&amp;jpx400chart[[#This Row],[コード]]&amp;"_[#見出し]"</f>
        <v>'[jpx400_data.xlsm]8058'!tbl8058_[#見出し]</v>
      </c>
      <c r="E298" t="str" cm="1">
        <f t="array" ref="E298">_xll.RssChartPast(INDIRECT(jpx400chart[[#This Row],[ヘッダー行]]), jpx400chart[[#This Row],[コード]], "D",20160401,3000)</f>
        <v>=RssChartPast(INDIRECT([@ヘッダー行]), [@コード], "D",20160401,3000) =&gt; 完了</v>
      </c>
    </row>
    <row r="299" spans="1:5" x14ac:dyDescent="0.45">
      <c r="A299">
        <f>_400_j_pdf[[#This Row],[コード]]</f>
        <v>8060</v>
      </c>
      <c r="B299" t="str" cm="1">
        <f t="array" ref="B299">_xll.RssMarket(jpx400chart[[#This Row],[コード]],jpx400chart[[#Headers],[銘柄名称]])</f>
        <v>キヤノンマーケティングＪＰＮ</v>
      </c>
      <c r="C299" cm="1">
        <f t="array" ref="C299">_xll.RssMarket(jpx400chart[[#This Row],[コード]],jpx400chart[[#Headers],[現在値]])</f>
        <v>6760</v>
      </c>
      <c r="D299" t="str">
        <f>"'[jpx400_data.xlsm]"&amp;jpx400chart[[#This Row],[コード]]&amp;"'!"&amp;"tbl"&amp;jpx400chart[[#This Row],[コード]]&amp;"_[#見出し]"</f>
        <v>'[jpx400_data.xlsm]8060'!tbl8060_[#見出し]</v>
      </c>
      <c r="E299" t="str" cm="1">
        <f t="array" ref="E299">_xll.RssChartPast(INDIRECT(jpx400chart[[#This Row],[ヘッダー行]]), jpx400chart[[#This Row],[コード]], "D",20160401,3000)</f>
        <v>=RssChartPast(INDIRECT([@ヘッダー行]), [@コード], "D",20160401,3000) =&gt; 完了</v>
      </c>
    </row>
    <row r="300" spans="1:5" x14ac:dyDescent="0.45">
      <c r="A300">
        <f>_400_j_pdf[[#This Row],[コード]]</f>
        <v>8078</v>
      </c>
      <c r="B300" t="str" cm="1">
        <f t="array" ref="B300">_xll.RssMarket(jpx400chart[[#This Row],[コード]],jpx400chart[[#Headers],[銘柄名称]])</f>
        <v>阪和興業</v>
      </c>
      <c r="C300" cm="1">
        <f t="array" ref="C300">_xll.RssMarket(jpx400chart[[#This Row],[コード]],jpx400chart[[#Headers],[現在値]])</f>
        <v>7890</v>
      </c>
      <c r="D300" t="str">
        <f>"'[jpx400_data.xlsm]"&amp;jpx400chart[[#This Row],[コード]]&amp;"'!"&amp;"tbl"&amp;jpx400chart[[#This Row],[コード]]&amp;"_[#見出し]"</f>
        <v>'[jpx400_data.xlsm]8078'!tbl8078_[#見出し]</v>
      </c>
      <c r="E300" t="str" cm="1">
        <f t="array" ref="E300">_xll.RssChartPast(INDIRECT(jpx400chart[[#This Row],[ヘッダー行]]), jpx400chart[[#This Row],[コード]], "D",20160401,3000)</f>
        <v>=RssChartPast(INDIRECT([@ヘッダー行]), [@コード], "D",20160401,3000) =&gt; 完了</v>
      </c>
    </row>
    <row r="301" spans="1:5" x14ac:dyDescent="0.45">
      <c r="A301">
        <f>_400_j_pdf[[#This Row],[コード]]</f>
        <v>8088</v>
      </c>
      <c r="B301" t="str" cm="1">
        <f t="array" ref="B301">_xll.RssMarket(jpx400chart[[#This Row],[コード]],jpx400chart[[#Headers],[銘柄名称]])</f>
        <v>岩谷産業</v>
      </c>
      <c r="C301" cm="1">
        <f t="array" ref="C301">_xll.RssMarket(jpx400chart[[#This Row],[コード]],jpx400chart[[#Headers],[現在値]])</f>
        <v>1801</v>
      </c>
      <c r="D301" t="str">
        <f>"'[jpx400_data.xlsm]"&amp;jpx400chart[[#This Row],[コード]]&amp;"'!"&amp;"tbl"&amp;jpx400chart[[#This Row],[コード]]&amp;"_[#見出し]"</f>
        <v>'[jpx400_data.xlsm]8088'!tbl8088_[#見出し]</v>
      </c>
      <c r="E301" t="str" cm="1">
        <f t="array" ref="E301">_xll.RssChartPast(INDIRECT(jpx400chart[[#This Row],[ヘッダー行]]), jpx400chart[[#This Row],[コード]], "D",20160401,3000)</f>
        <v>=RssChartPast(INDIRECT([@ヘッダー行]), [@コード], "D",20160401,3000) =&gt; 完了</v>
      </c>
    </row>
    <row r="302" spans="1:5" x14ac:dyDescent="0.45">
      <c r="A302">
        <f>_400_j_pdf[[#This Row],[コード]]</f>
        <v>8098</v>
      </c>
      <c r="B302" t="str" cm="1">
        <f t="array" ref="B302">_xll.RssMarket(jpx400chart[[#This Row],[コード]],jpx400chart[[#Headers],[銘柄名称]])</f>
        <v>稲畑産業</v>
      </c>
      <c r="C302" cm="1">
        <f t="array" ref="C302">_xll.RssMarket(jpx400chart[[#This Row],[コード]],jpx400chart[[#Headers],[現在値]])</f>
        <v>3945</v>
      </c>
      <c r="D302" t="str">
        <f>"'[jpx400_data.xlsm]"&amp;jpx400chart[[#This Row],[コード]]&amp;"'!"&amp;"tbl"&amp;jpx400chart[[#This Row],[コード]]&amp;"_[#見出し]"</f>
        <v>'[jpx400_data.xlsm]8098'!tbl8098_[#見出し]</v>
      </c>
      <c r="E302" t="str" cm="1">
        <f t="array" ref="E302">_xll.RssChartPast(INDIRECT(jpx400chart[[#This Row],[ヘッダー行]]), jpx400chart[[#This Row],[コード]], "D",20160401,3000)</f>
        <v>=RssChartPast(INDIRECT([@ヘッダー行]), [@コード], "D",20160401,3000) =&gt; 完了</v>
      </c>
    </row>
    <row r="303" spans="1:5" x14ac:dyDescent="0.45">
      <c r="A303">
        <f>_400_j_pdf[[#This Row],[コード]]</f>
        <v>8111</v>
      </c>
      <c r="B303" t="str" cm="1">
        <f t="array" ref="B303">_xll.RssMarket(jpx400chart[[#This Row],[コード]],jpx400chart[[#Headers],[銘柄名称]])</f>
        <v>ゴ－ルドウイン</v>
      </c>
      <c r="C303" cm="1">
        <f t="array" ref="C303">_xll.RssMarket(jpx400chart[[#This Row],[コード]],jpx400chart[[#Headers],[現在値]])</f>
        <v>2524.5</v>
      </c>
      <c r="D303" t="str">
        <f>"'[jpx400_data.xlsm]"&amp;jpx400chart[[#This Row],[コード]]&amp;"'!"&amp;"tbl"&amp;jpx400chart[[#This Row],[コード]]&amp;"_[#見出し]"</f>
        <v>'[jpx400_data.xlsm]8111'!tbl8111_[#見出し]</v>
      </c>
      <c r="E303" t="str" cm="1">
        <f t="array" ref="E303">_xll.RssChartPast(INDIRECT(jpx400chart[[#This Row],[ヘッダー行]]), jpx400chart[[#This Row],[コード]], "D",20160401,3000)</f>
        <v>=RssChartPast(INDIRECT([@ヘッダー行]), [@コード], "D",20160401,3000) =&gt; 完了</v>
      </c>
    </row>
    <row r="304" spans="1:5" x14ac:dyDescent="0.45">
      <c r="A304">
        <f>_400_j_pdf[[#This Row],[コード]]</f>
        <v>8113</v>
      </c>
      <c r="B304" t="str" cm="1">
        <f t="array" ref="B304">_xll.RssMarket(jpx400chart[[#This Row],[コード]],jpx400chart[[#Headers],[銘柄名称]])</f>
        <v>ユニ・チヤ－ム</v>
      </c>
      <c r="C304" cm="1">
        <f t="array" ref="C304">_xll.RssMarket(jpx400chart[[#This Row],[コード]],jpx400chart[[#Headers],[現在値]])</f>
        <v>937.3</v>
      </c>
      <c r="D304" t="str">
        <f>"'[jpx400_data.xlsm]"&amp;jpx400chart[[#This Row],[コード]]&amp;"'!"&amp;"tbl"&amp;jpx400chart[[#This Row],[コード]]&amp;"_[#見出し]"</f>
        <v>'[jpx400_data.xlsm]8113'!tbl8113_[#見出し]</v>
      </c>
      <c r="E304" t="str" cm="1">
        <f t="array" ref="E304">_xll.RssChartPast(INDIRECT(jpx400chart[[#This Row],[ヘッダー行]]), jpx400chart[[#This Row],[コード]], "D",20160401,3000)</f>
        <v>=RssChartPast(INDIRECT([@ヘッダー行]), [@コード], "D",20160401,3000) =&gt; 完了</v>
      </c>
    </row>
    <row r="305" spans="1:5" x14ac:dyDescent="0.45">
      <c r="A305">
        <f>_400_j_pdf[[#This Row],[コード]]</f>
        <v>8130</v>
      </c>
      <c r="B305" t="str" cm="1">
        <f t="array" ref="B305">_xll.RssMarket(jpx400chart[[#This Row],[コード]],jpx400chart[[#Headers],[銘柄名称]])</f>
        <v>サンゲツ</v>
      </c>
      <c r="C305" cm="1">
        <f t="array" ref="C305">_xll.RssMarket(jpx400chart[[#This Row],[コード]],jpx400chart[[#Headers],[現在値]])</f>
        <v>3180</v>
      </c>
      <c r="D305" t="str">
        <f>"'[jpx400_data.xlsm]"&amp;jpx400chart[[#This Row],[コード]]&amp;"'!"&amp;"tbl"&amp;jpx400chart[[#This Row],[コード]]&amp;"_[#見出し]"</f>
        <v>'[jpx400_data.xlsm]8130'!tbl8130_[#見出し]</v>
      </c>
      <c r="E305" t="str" cm="1">
        <f t="array" ref="E305">_xll.RssChartPast(INDIRECT(jpx400chart[[#This Row],[ヘッダー行]]), jpx400chart[[#This Row],[コード]], "D",20160401,3000)</f>
        <v>=RssChartPast(INDIRECT([@ヘッダー行]), [@コード], "D",20160401,3000) =&gt; 完了</v>
      </c>
    </row>
    <row r="306" spans="1:5" x14ac:dyDescent="0.45">
      <c r="A306">
        <f>_400_j_pdf[[#This Row],[コード]]</f>
        <v>8133</v>
      </c>
      <c r="B306" t="str" cm="1">
        <f t="array" ref="B306">_xll.RssMarket(jpx400chart[[#This Row],[コード]],jpx400chart[[#Headers],[銘柄名称]])</f>
        <v>伊藤忠エネクス</v>
      </c>
      <c r="C306" cm="1">
        <f t="array" ref="C306">_xll.RssMarket(jpx400chart[[#This Row],[コード]],jpx400chart[[#Headers],[現在値]])</f>
        <v>1993</v>
      </c>
      <c r="D306" t="str">
        <f>"'[jpx400_data.xlsm]"&amp;jpx400chart[[#This Row],[コード]]&amp;"'!"&amp;"tbl"&amp;jpx400chart[[#This Row],[コード]]&amp;"_[#見出し]"</f>
        <v>'[jpx400_data.xlsm]8133'!tbl8133_[#見出し]</v>
      </c>
      <c r="E306" t="str" cm="1">
        <f t="array" ref="E306">_xll.RssChartPast(INDIRECT(jpx400chart[[#This Row],[ヘッダー行]]), jpx400chart[[#This Row],[コード]], "D",20160401,3000)</f>
        <v>=RssChartPast(INDIRECT([@ヘッダー行]), [@コード], "D",20160401,3000) =&gt; 完了</v>
      </c>
    </row>
    <row r="307" spans="1:5" x14ac:dyDescent="0.45">
      <c r="A307">
        <f>_400_j_pdf[[#This Row],[コード]]</f>
        <v>8136</v>
      </c>
      <c r="B307" t="str" cm="1">
        <f t="array" ref="B307">_xll.RssMarket(jpx400chart[[#This Row],[コード]],jpx400chart[[#Headers],[銘柄名称]])</f>
        <v>サンリオ</v>
      </c>
      <c r="C307" cm="1">
        <f t="array" ref="C307">_xll.RssMarket(jpx400chart[[#This Row],[コード]],jpx400chart[[#Headers],[現在値]])</f>
        <v>4842</v>
      </c>
      <c r="D307" t="str">
        <f>"'[jpx400_data.xlsm]"&amp;jpx400chart[[#This Row],[コード]]&amp;"'!"&amp;"tbl"&amp;jpx400chart[[#This Row],[コード]]&amp;"_[#見出し]"</f>
        <v>'[jpx400_data.xlsm]8136'!tbl8136_[#見出し]</v>
      </c>
      <c r="E307" t="str" cm="1">
        <f t="array" ref="E307">_xll.RssChartPast(INDIRECT(jpx400chart[[#This Row],[ヘッダー行]]), jpx400chart[[#This Row],[コード]], "D",20160401,3000)</f>
        <v>=RssChartPast(INDIRECT([@ヘッダー行]), [@コード], "D",20160401,3000) =&gt; 完了</v>
      </c>
    </row>
    <row r="308" spans="1:5" x14ac:dyDescent="0.45">
      <c r="A308">
        <f>_400_j_pdf[[#This Row],[コード]]</f>
        <v>8154</v>
      </c>
      <c r="B308" t="str" cm="1">
        <f t="array" ref="B308">_xll.RssMarket(jpx400chart[[#This Row],[コード]],jpx400chart[[#Headers],[銘柄名称]])</f>
        <v>加賀電子</v>
      </c>
      <c r="C308" cm="1">
        <f t="array" ref="C308">_xll.RssMarket(jpx400chart[[#This Row],[コード]],jpx400chart[[#Headers],[現在値]])</f>
        <v>3870</v>
      </c>
      <c r="D308" t="str">
        <f>"'[jpx400_data.xlsm]"&amp;jpx400chart[[#This Row],[コード]]&amp;"'!"&amp;"tbl"&amp;jpx400chart[[#This Row],[コード]]&amp;"_[#見出し]"</f>
        <v>'[jpx400_data.xlsm]8154'!tbl8154_[#見出し]</v>
      </c>
      <c r="E308" t="str" cm="1">
        <f t="array" ref="E308">_xll.RssChartPast(INDIRECT(jpx400chart[[#This Row],[ヘッダー行]]), jpx400chart[[#This Row],[コード]], "D",20160401,3000)</f>
        <v>=RssChartPast(INDIRECT([@ヘッダー行]), [@コード], "D",20160401,3000) =&gt; 完了</v>
      </c>
    </row>
    <row r="309" spans="1:5" x14ac:dyDescent="0.45">
      <c r="A309">
        <f>_400_j_pdf[[#This Row],[コード]]</f>
        <v>8174</v>
      </c>
      <c r="B309" t="str" cm="1">
        <f t="array" ref="B309">_xll.RssMarket(jpx400chart[[#This Row],[コード]],jpx400chart[[#Headers],[銘柄名称]])</f>
        <v>日本瓦斯</v>
      </c>
      <c r="C309" cm="1">
        <f t="array" ref="C309">_xll.RssMarket(jpx400chart[[#This Row],[コード]],jpx400chart[[#Headers],[現在値]])</f>
        <v>2968</v>
      </c>
      <c r="D309" t="str">
        <f>"'[jpx400_data.xlsm]"&amp;jpx400chart[[#This Row],[コード]]&amp;"'!"&amp;"tbl"&amp;jpx400chart[[#This Row],[コード]]&amp;"_[#見出し]"</f>
        <v>'[jpx400_data.xlsm]8174'!tbl8174_[#見出し]</v>
      </c>
      <c r="E309" t="str" cm="1">
        <f t="array" ref="E309">_xll.RssChartPast(INDIRECT(jpx400chart[[#This Row],[ヘッダー行]]), jpx400chart[[#This Row],[コード]], "D",20160401,3000)</f>
        <v>=RssChartPast(INDIRECT([@ヘッダー行]), [@コード], "D",20160401,3000) =&gt; 完了</v>
      </c>
    </row>
    <row r="310" spans="1:5" x14ac:dyDescent="0.45">
      <c r="A310">
        <f>_400_j_pdf[[#This Row],[コード]]</f>
        <v>8194</v>
      </c>
      <c r="B310" t="str" cm="1">
        <f t="array" ref="B310">_xll.RssMarket(jpx400chart[[#This Row],[コード]],jpx400chart[[#Headers],[銘柄名称]])</f>
        <v>ライフコ－ポレ－ション</v>
      </c>
      <c r="C310" cm="1">
        <f t="array" ref="C310">_xll.RssMarket(jpx400chart[[#This Row],[コード]],jpx400chart[[#Headers],[現在値]])</f>
        <v>2582</v>
      </c>
      <c r="D310" t="str">
        <f>"'[jpx400_data.xlsm]"&amp;jpx400chart[[#This Row],[コード]]&amp;"'!"&amp;"tbl"&amp;jpx400chart[[#This Row],[コード]]&amp;"_[#見出し]"</f>
        <v>'[jpx400_data.xlsm]8194'!tbl8194_[#見出し]</v>
      </c>
      <c r="E310" t="str" cm="1">
        <f t="array" ref="E310">_xll.RssChartPast(INDIRECT(jpx400chart[[#This Row],[ヘッダー行]]), jpx400chart[[#This Row],[コード]], "D",20160401,3000)</f>
        <v>=RssChartPast(INDIRECT([@ヘッダー行]), [@コード], "D",20160401,3000) =&gt; 完了</v>
      </c>
    </row>
    <row r="311" spans="1:5" x14ac:dyDescent="0.45">
      <c r="A311">
        <f>_400_j_pdf[[#This Row],[コード]]</f>
        <v>8227</v>
      </c>
      <c r="B311" t="str" cm="1">
        <f t="array" ref="B311">_xll.RssMarket(jpx400chart[[#This Row],[コード]],jpx400chart[[#Headers],[銘柄名称]])</f>
        <v>しまむら</v>
      </c>
      <c r="C311" cm="1">
        <f t="array" ref="C311">_xll.RssMarket(jpx400chart[[#This Row],[コード]],jpx400chart[[#Headers],[現在値]])</f>
        <v>10520</v>
      </c>
      <c r="D311" t="str">
        <f>"'[jpx400_data.xlsm]"&amp;jpx400chart[[#This Row],[コード]]&amp;"'!"&amp;"tbl"&amp;jpx400chart[[#This Row],[コード]]&amp;"_[#見出し]"</f>
        <v>'[jpx400_data.xlsm]8227'!tbl8227_[#見出し]</v>
      </c>
      <c r="E311" t="str" cm="1">
        <f t="array" ref="E311">_xll.RssChartPast(INDIRECT(jpx400chart[[#This Row],[ヘッダー行]]), jpx400chart[[#This Row],[コード]], "D",20160401,3000)</f>
        <v>=RssChartPast(INDIRECT([@ヘッダー行]), [@コード], "D",20160401,3000) =&gt; 完了</v>
      </c>
    </row>
    <row r="312" spans="1:5" x14ac:dyDescent="0.45">
      <c r="A312">
        <f>_400_j_pdf[[#This Row],[コード]]</f>
        <v>8252</v>
      </c>
      <c r="B312" t="str" cm="1">
        <f t="array" ref="B312">_xll.RssMarket(jpx400chart[[#This Row],[コード]],jpx400chart[[#Headers],[銘柄名称]])</f>
        <v>丸井グループ</v>
      </c>
      <c r="C312" cm="1">
        <f t="array" ref="C312">_xll.RssMarket(jpx400chart[[#This Row],[コード]],jpx400chart[[#Headers],[現在値]])</f>
        <v>3021</v>
      </c>
      <c r="D312" t="str">
        <f>"'[jpx400_data.xlsm]"&amp;jpx400chart[[#This Row],[コード]]&amp;"'!"&amp;"tbl"&amp;jpx400chart[[#This Row],[コード]]&amp;"_[#見出し]"</f>
        <v>'[jpx400_data.xlsm]8252'!tbl8252_[#見出し]</v>
      </c>
      <c r="E312" t="str" cm="1">
        <f t="array" ref="E312">_xll.RssChartPast(INDIRECT(jpx400chart[[#This Row],[ヘッダー行]]), jpx400chart[[#This Row],[コード]], "D",20160401,3000)</f>
        <v>=RssChartPast(INDIRECT([@ヘッダー行]), [@コード], "D",20160401,3000) =&gt; 完了</v>
      </c>
    </row>
    <row r="313" spans="1:5" x14ac:dyDescent="0.45">
      <c r="A313">
        <f>_400_j_pdf[[#This Row],[コード]]</f>
        <v>8253</v>
      </c>
      <c r="B313" t="str" cm="1">
        <f t="array" ref="B313">_xll.RssMarket(jpx400chart[[#This Row],[コード]],jpx400chart[[#Headers],[銘柄名称]])</f>
        <v>クレディセゾン</v>
      </c>
      <c r="C313" cm="1">
        <f t="array" ref="C313">_xll.RssMarket(jpx400chart[[#This Row],[コード]],jpx400chart[[#Headers],[現在値]])</f>
        <v>4133</v>
      </c>
      <c r="D313" t="str">
        <f>"'[jpx400_data.xlsm]"&amp;jpx400chart[[#This Row],[コード]]&amp;"'!"&amp;"tbl"&amp;jpx400chart[[#This Row],[コード]]&amp;"_[#見出し]"</f>
        <v>'[jpx400_data.xlsm]8253'!tbl8253_[#見出し]</v>
      </c>
      <c r="E313" t="str" cm="1">
        <f t="array" ref="E313">_xll.RssChartPast(INDIRECT(jpx400chart[[#This Row],[ヘッダー行]]), jpx400chart[[#This Row],[コード]], "D",20160401,3000)</f>
        <v>=RssChartPast(INDIRECT([@ヘッダー行]), [@コード], "D",20160401,3000) =&gt; 完了</v>
      </c>
    </row>
    <row r="314" spans="1:5" x14ac:dyDescent="0.45">
      <c r="A314">
        <f>_400_j_pdf[[#This Row],[コード]]</f>
        <v>8306</v>
      </c>
      <c r="B314" t="str" cm="1">
        <f t="array" ref="B314">_xll.RssMarket(jpx400chart[[#This Row],[コード]],jpx400chart[[#Headers],[銘柄名称]])</f>
        <v>三菱ＵＦＪフィナンシャルＧ</v>
      </c>
      <c r="C314" cm="1">
        <f t="array" ref="C314">_xll.RssMarket(jpx400chart[[#This Row],[コード]],jpx400chart[[#Headers],[現在値]])</f>
        <v>2771.5</v>
      </c>
      <c r="D314" t="str">
        <f>"'[jpx400_data.xlsm]"&amp;jpx400chart[[#This Row],[コード]]&amp;"'!"&amp;"tbl"&amp;jpx400chart[[#This Row],[コード]]&amp;"_[#見出し]"</f>
        <v>'[jpx400_data.xlsm]8306'!tbl8306_[#見出し]</v>
      </c>
      <c r="E314" t="str" cm="1">
        <f t="array" ref="E314">_xll.RssChartPast(INDIRECT(jpx400chart[[#This Row],[ヘッダー行]]), jpx400chart[[#This Row],[コード]], "D",20160401,3000)</f>
        <v>=RssChartPast(INDIRECT([@ヘッダー行]), [@コード], "D",20160401,3000) =&gt; 完了</v>
      </c>
    </row>
    <row r="315" spans="1:5" x14ac:dyDescent="0.45">
      <c r="A315">
        <f>_400_j_pdf[[#This Row],[コード]]</f>
        <v>8308</v>
      </c>
      <c r="B315" t="str" cm="1">
        <f t="array" ref="B315">_xll.RssMarket(jpx400chart[[#This Row],[コード]],jpx400chart[[#Headers],[銘柄名称]])</f>
        <v>りそなホールディングス</v>
      </c>
      <c r="C315" cm="1">
        <f t="array" ref="C315">_xll.RssMarket(jpx400chart[[#This Row],[コード]],jpx400chart[[#Headers],[現在値]])</f>
        <v>1791.5</v>
      </c>
      <c r="D315" t="str">
        <f>"'[jpx400_data.xlsm]"&amp;jpx400chart[[#This Row],[コード]]&amp;"'!"&amp;"tbl"&amp;jpx400chart[[#This Row],[コード]]&amp;"_[#見出し]"</f>
        <v>'[jpx400_data.xlsm]8308'!tbl8308_[#見出し]</v>
      </c>
      <c r="E315" t="str" cm="1">
        <f t="array" ref="E315">_xll.RssChartPast(INDIRECT(jpx400chart[[#This Row],[ヘッダー行]]), jpx400chart[[#This Row],[コード]], "D",20160401,3000)</f>
        <v>=RssChartPast(INDIRECT([@ヘッダー行]), [@コード], "D",20160401,3000) =&gt; 完了</v>
      </c>
    </row>
    <row r="316" spans="1:5" x14ac:dyDescent="0.45">
      <c r="A316">
        <f>_400_j_pdf[[#This Row],[コード]]</f>
        <v>8309</v>
      </c>
      <c r="B316" t="str" cm="1">
        <f t="array" ref="B316">_xll.RssMarket(jpx400chart[[#This Row],[コード]],jpx400chart[[#Headers],[銘柄名称]])</f>
        <v>三井住友トラストグルー</v>
      </c>
      <c r="C316" cm="1">
        <f t="array" ref="C316">_xll.RssMarket(jpx400chart[[#This Row],[コード]],jpx400chart[[#Headers],[現在値]])</f>
        <v>5018</v>
      </c>
      <c r="D316" t="str">
        <f>"'[jpx400_data.xlsm]"&amp;jpx400chart[[#This Row],[コード]]&amp;"'!"&amp;"tbl"&amp;jpx400chart[[#This Row],[コード]]&amp;"_[#見出し]"</f>
        <v>'[jpx400_data.xlsm]8309'!tbl8309_[#見出し]</v>
      </c>
      <c r="E316" t="str" cm="1">
        <f t="array" ref="E316">_xll.RssChartPast(INDIRECT(jpx400chart[[#This Row],[ヘッダー行]]), jpx400chart[[#This Row],[コード]], "D",20160401,3000)</f>
        <v>=RssChartPast(INDIRECT([@ヘッダー行]), [@コード], "D",20160401,3000) =&gt; 完了</v>
      </c>
    </row>
    <row r="317" spans="1:5" x14ac:dyDescent="0.45">
      <c r="A317">
        <f>_400_j_pdf[[#This Row],[コード]]</f>
        <v>8316</v>
      </c>
      <c r="B317" t="str" cm="1">
        <f t="array" ref="B317">_xll.RssMarket(jpx400chart[[#This Row],[コード]],jpx400chart[[#Headers],[銘柄名称]])</f>
        <v>三井住友フィナンシャルＧ</v>
      </c>
      <c r="C317" cm="1">
        <f t="array" ref="C317">_xll.RssMarket(jpx400chart[[#This Row],[コード]],jpx400chart[[#Headers],[現在値]])</f>
        <v>5430</v>
      </c>
      <c r="D317" t="str">
        <f>"'[jpx400_data.xlsm]"&amp;jpx400chart[[#This Row],[コード]]&amp;"'!"&amp;"tbl"&amp;jpx400chart[[#This Row],[コード]]&amp;"_[#見出し]"</f>
        <v>'[jpx400_data.xlsm]8316'!tbl8316_[#見出し]</v>
      </c>
      <c r="E317" t="str" cm="1">
        <f t="array" ref="E317">_xll.RssChartPast(INDIRECT(jpx400chart[[#This Row],[ヘッダー行]]), jpx400chart[[#This Row],[コード]], "D",20160401,3000)</f>
        <v>=RssChartPast(INDIRECT([@ヘッダー行]), [@コード], "D",20160401,3000) =&gt; 完了</v>
      </c>
    </row>
    <row r="318" spans="1:5" x14ac:dyDescent="0.45">
      <c r="A318">
        <f>_400_j_pdf[[#This Row],[コード]]</f>
        <v>8331</v>
      </c>
      <c r="B318" t="str" cm="1">
        <f t="array" ref="B318">_xll.RssMarket(jpx400chart[[#This Row],[コード]],jpx400chart[[#Headers],[銘柄名称]])</f>
        <v>千葉銀行</v>
      </c>
      <c r="C318" cm="1">
        <f t="array" ref="C318">_xll.RssMarket(jpx400chart[[#This Row],[コード]],jpx400chart[[#Headers],[現在値]])</f>
        <v>2049</v>
      </c>
      <c r="D318" t="str">
        <f>"'[jpx400_data.xlsm]"&amp;jpx400chart[[#This Row],[コード]]&amp;"'!"&amp;"tbl"&amp;jpx400chart[[#This Row],[コード]]&amp;"_[#見出し]"</f>
        <v>'[jpx400_data.xlsm]8331'!tbl8331_[#見出し]</v>
      </c>
      <c r="E318" t="str" cm="1">
        <f t="array" ref="E318">_xll.RssChartPast(INDIRECT(jpx400chart[[#This Row],[ヘッダー行]]), jpx400chart[[#This Row],[コード]], "D",20160401,3000)</f>
        <v>=RssChartPast(INDIRECT([@ヘッダー行]), [@コード], "D",20160401,3000) =&gt; 完了</v>
      </c>
    </row>
    <row r="319" spans="1:5" x14ac:dyDescent="0.45">
      <c r="A319">
        <f>_400_j_pdf[[#This Row],[コード]]</f>
        <v>8354</v>
      </c>
      <c r="B319" t="str" cm="1">
        <f t="array" ref="B319">_xll.RssMarket(jpx400chart[[#This Row],[コード]],jpx400chart[[#Headers],[銘柄名称]])</f>
        <v>ふくおかフィナンシャルＧ</v>
      </c>
      <c r="C319" cm="1">
        <f t="array" ref="C319">_xll.RssMarket(jpx400chart[[#This Row],[コード]],jpx400chart[[#Headers],[現在値]])</f>
        <v>5529</v>
      </c>
      <c r="D319" t="str">
        <f>"'[jpx400_data.xlsm]"&amp;jpx400chart[[#This Row],[コード]]&amp;"'!"&amp;"tbl"&amp;jpx400chart[[#This Row],[コード]]&amp;"_[#見出し]"</f>
        <v>'[jpx400_data.xlsm]8354'!tbl8354_[#見出し]</v>
      </c>
      <c r="E319" t="str" cm="1">
        <f t="array" ref="E319">_xll.RssChartPast(INDIRECT(jpx400chart[[#This Row],[ヘッダー行]]), jpx400chart[[#This Row],[コード]], "D",20160401,3000)</f>
        <v>=RssChartPast(INDIRECT([@ヘッダー行]), [@コード], "D",20160401,3000) =&gt; 完了</v>
      </c>
    </row>
    <row r="320" spans="1:5" x14ac:dyDescent="0.45">
      <c r="A320">
        <f>_400_j_pdf[[#This Row],[コード]]</f>
        <v>8410</v>
      </c>
      <c r="B320" t="str" cm="1">
        <f t="array" ref="B320">_xll.RssMarket(jpx400chart[[#This Row],[コード]],jpx400chart[[#Headers],[銘柄名称]])</f>
        <v>セブン銀行</v>
      </c>
      <c r="C320" cm="1">
        <f t="array" ref="C320">_xll.RssMarket(jpx400chart[[#This Row],[コード]],jpx400chart[[#Headers],[現在値]])</f>
        <v>295.89999999999998</v>
      </c>
      <c r="D320" t="str">
        <f>"'[jpx400_data.xlsm]"&amp;jpx400chart[[#This Row],[コード]]&amp;"'!"&amp;"tbl"&amp;jpx400chart[[#This Row],[コード]]&amp;"_[#見出し]"</f>
        <v>'[jpx400_data.xlsm]8410'!tbl8410_[#見出し]</v>
      </c>
      <c r="E320" t="str" cm="1">
        <f t="array" ref="E320">_xll.RssChartPast(INDIRECT(jpx400chart[[#This Row],[ヘッダー行]]), jpx400chart[[#This Row],[コード]], "D",20160401,3000)</f>
        <v>=RssChartPast(INDIRECT([@ヘッダー行]), [@コード], "D",20160401,3000) =&gt; 完了</v>
      </c>
    </row>
    <row r="321" spans="1:5" x14ac:dyDescent="0.45">
      <c r="A321">
        <f>_400_j_pdf[[#This Row],[コード]]</f>
        <v>8411</v>
      </c>
      <c r="B321" t="str" cm="1">
        <f t="array" ref="B321">_xll.RssMarket(jpx400chart[[#This Row],[コード]],jpx400chart[[#Headers],[銘柄名称]])</f>
        <v>みずほフィナンシャルＧ</v>
      </c>
      <c r="C321" cm="1">
        <f t="array" ref="C321">_xll.RssMarket(jpx400chart[[#This Row],[コード]],jpx400chart[[#Headers],[現在値]])</f>
        <v>6582</v>
      </c>
      <c r="D321" t="str">
        <f>"'[jpx400_data.xlsm]"&amp;jpx400chart[[#This Row],[コード]]&amp;"'!"&amp;"tbl"&amp;jpx400chart[[#This Row],[コード]]&amp;"_[#見出し]"</f>
        <v>'[jpx400_data.xlsm]8411'!tbl8411_[#見出し]</v>
      </c>
      <c r="E321" t="str" cm="1">
        <f t="array" ref="E321">_xll.RssChartPast(INDIRECT(jpx400chart[[#This Row],[ヘッダー行]]), jpx400chart[[#This Row],[コード]], "D",20160401,3000)</f>
        <v>=RssChartPast(INDIRECT([@ヘッダー行]), [@コード], "D",20160401,3000) =&gt; 完了</v>
      </c>
    </row>
    <row r="322" spans="1:5" x14ac:dyDescent="0.45">
      <c r="A322">
        <f>_400_j_pdf[[#This Row],[コード]]</f>
        <v>8424</v>
      </c>
      <c r="B322" t="str" cm="1">
        <f t="array" ref="B322">_xll.RssMarket(jpx400chart[[#This Row],[コード]],jpx400chart[[#Headers],[銘柄名称]])</f>
        <v>芙蓉総合リース</v>
      </c>
      <c r="C322" cm="1">
        <f t="array" ref="C322">_xll.RssMarket(jpx400chart[[#This Row],[コード]],jpx400chart[[#Headers],[現在値]])</f>
        <v>4380</v>
      </c>
      <c r="D322" t="str">
        <f>"'[jpx400_data.xlsm]"&amp;jpx400chart[[#This Row],[コード]]&amp;"'!"&amp;"tbl"&amp;jpx400chart[[#This Row],[コード]]&amp;"_[#見出し]"</f>
        <v>'[jpx400_data.xlsm]8424'!tbl8424_[#見出し]</v>
      </c>
      <c r="E322" t="str" cm="1">
        <f t="array" ref="E322">_xll.RssChartPast(INDIRECT(jpx400chart[[#This Row],[ヘッダー行]]), jpx400chart[[#This Row],[コード]], "D",20160401,3000)</f>
        <v>=RssChartPast(INDIRECT([@ヘッダー行]), [@コード], "D",20160401,3000) =&gt; 完了</v>
      </c>
    </row>
    <row r="323" spans="1:5" x14ac:dyDescent="0.45">
      <c r="A323">
        <f>_400_j_pdf[[#This Row],[コード]]</f>
        <v>8425</v>
      </c>
      <c r="B323" t="str" cm="1">
        <f t="array" ref="B323">_xll.RssMarket(jpx400chart[[#This Row],[コード]],jpx400chart[[#Headers],[銘柄名称]])</f>
        <v>みずほリース</v>
      </c>
      <c r="C323" cm="1">
        <f t="array" ref="C323">_xll.RssMarket(jpx400chart[[#This Row],[コード]],jpx400chart[[#Headers],[現在値]])</f>
        <v>1436</v>
      </c>
      <c r="D323" t="str">
        <f>"'[jpx400_data.xlsm]"&amp;jpx400chart[[#This Row],[コード]]&amp;"'!"&amp;"tbl"&amp;jpx400chart[[#This Row],[コード]]&amp;"_[#見出し]"</f>
        <v>'[jpx400_data.xlsm]8425'!tbl8425_[#見出し]</v>
      </c>
      <c r="E323" t="str" cm="1">
        <f t="array" ref="E323">_xll.RssChartPast(INDIRECT(jpx400chart[[#This Row],[ヘッダー行]]), jpx400chart[[#This Row],[コード]], "D",20160401,3000)</f>
        <v>=RssChartPast(INDIRECT([@ヘッダー行]), [@コード], "D",20160401,3000) =&gt; 完了</v>
      </c>
    </row>
    <row r="324" spans="1:5" x14ac:dyDescent="0.45">
      <c r="A324">
        <f>_400_j_pdf[[#This Row],[コード]]</f>
        <v>8439</v>
      </c>
      <c r="B324" t="str" cm="1">
        <f t="array" ref="B324">_xll.RssMarket(jpx400chart[[#This Row],[コード]],jpx400chart[[#Headers],[銘柄名称]])</f>
        <v>東京センチュリー</v>
      </c>
      <c r="C324" cm="1">
        <f t="array" ref="C324">_xll.RssMarket(jpx400chart[[#This Row],[コード]],jpx400chart[[#Headers],[現在値]])</f>
        <v>2154</v>
      </c>
      <c r="D324" t="str">
        <f>"'[jpx400_data.xlsm]"&amp;jpx400chart[[#This Row],[コード]]&amp;"'!"&amp;"tbl"&amp;jpx400chart[[#This Row],[コード]]&amp;"_[#見出し]"</f>
        <v>'[jpx400_data.xlsm]8439'!tbl8439_[#見出し]</v>
      </c>
      <c r="E324" t="str" cm="1">
        <f t="array" ref="E324">_xll.RssChartPast(INDIRECT(jpx400chart[[#This Row],[ヘッダー行]]), jpx400chart[[#This Row],[コード]], "D",20160401,3000)</f>
        <v>=RssChartPast(INDIRECT([@ヘッダー行]), [@コード], "D",20160401,3000) =&gt; 完了</v>
      </c>
    </row>
    <row r="325" spans="1:5" x14ac:dyDescent="0.45">
      <c r="A325">
        <f>_400_j_pdf[[#This Row],[コード]]</f>
        <v>8473</v>
      </c>
      <c r="B325" t="str" cm="1">
        <f t="array" ref="B325">_xll.RssMarket(jpx400chart[[#This Row],[コード]],jpx400chart[[#Headers],[銘柄名称]])</f>
        <v>ＳＢＩホールディングス</v>
      </c>
      <c r="C325" cm="1">
        <f t="array" ref="C325">_xll.RssMarket(jpx400chart[[#This Row],[コード]],jpx400chart[[#Headers],[現在値]])</f>
        <v>3526</v>
      </c>
      <c r="D325" t="str">
        <f>"'[jpx400_data.xlsm]"&amp;jpx400chart[[#This Row],[コード]]&amp;"'!"&amp;"tbl"&amp;jpx400chart[[#This Row],[コード]]&amp;"_[#見出し]"</f>
        <v>'[jpx400_data.xlsm]8473'!tbl8473_[#見出し]</v>
      </c>
      <c r="E325" t="str" cm="1">
        <f t="array" ref="E325">_xll.RssChartPast(INDIRECT(jpx400chart[[#This Row],[ヘッダー行]]), jpx400chart[[#This Row],[コード]], "D",20160401,3000)</f>
        <v>=RssChartPast(INDIRECT([@ヘッダー行]), [@コード], "D",20160401,3000) =&gt; 完了</v>
      </c>
    </row>
    <row r="326" spans="1:5" x14ac:dyDescent="0.45">
      <c r="A326">
        <f>_400_j_pdf[[#This Row],[コード]]</f>
        <v>8515</v>
      </c>
      <c r="B326" t="str" cm="1">
        <f t="array" ref="B326">_xll.RssMarket(jpx400chart[[#This Row],[コード]],jpx400chart[[#Headers],[銘柄名称]])</f>
        <v>アイフル</v>
      </c>
      <c r="C326" cm="1">
        <f t="array" ref="C326">_xll.RssMarket(jpx400chart[[#This Row],[コード]],jpx400chart[[#Headers],[現在値]])</f>
        <v>556</v>
      </c>
      <c r="D326" t="str">
        <f>"'[jpx400_data.xlsm]"&amp;jpx400chart[[#This Row],[コード]]&amp;"'!"&amp;"tbl"&amp;jpx400chart[[#This Row],[コード]]&amp;"_[#見出し]"</f>
        <v>'[jpx400_data.xlsm]8515'!tbl8515_[#見出し]</v>
      </c>
      <c r="E326" t="str" cm="1">
        <f t="array" ref="E326">_xll.RssChartPast(INDIRECT(jpx400chart[[#This Row],[ヘッダー行]]), jpx400chart[[#This Row],[コード]], "D",20160401,3000)</f>
        <v>=RssChartPast(INDIRECT([@ヘッダー行]), [@コード], "D",20160401,3000) =&gt; 完了</v>
      </c>
    </row>
    <row r="327" spans="1:5" x14ac:dyDescent="0.45">
      <c r="A327">
        <f>_400_j_pdf[[#This Row],[コード]]</f>
        <v>8572</v>
      </c>
      <c r="B327" t="str" cm="1">
        <f t="array" ref="B327">_xll.RssMarket(jpx400chart[[#This Row],[コード]],jpx400chart[[#Headers],[銘柄名称]])</f>
        <v>アコム</v>
      </c>
      <c r="C327" cm="1">
        <f t="array" ref="C327">_xll.RssMarket(jpx400chart[[#This Row],[コード]],jpx400chart[[#Headers],[現在値]])</f>
        <v>514.6</v>
      </c>
      <c r="D327" t="str">
        <f>"'[jpx400_data.xlsm]"&amp;jpx400chart[[#This Row],[コード]]&amp;"'!"&amp;"tbl"&amp;jpx400chart[[#This Row],[コード]]&amp;"_[#見出し]"</f>
        <v>'[jpx400_data.xlsm]8572'!tbl8572_[#見出し]</v>
      </c>
      <c r="E327" t="str" cm="1">
        <f t="array" ref="E327">_xll.RssChartPast(INDIRECT(jpx400chart[[#This Row],[ヘッダー行]]), jpx400chart[[#This Row],[コード]], "D",20160401,3000)</f>
        <v>=RssChartPast(INDIRECT([@ヘッダー行]), [@コード], "D",20160401,3000) =&gt; 完了</v>
      </c>
    </row>
    <row r="328" spans="1:5" x14ac:dyDescent="0.45">
      <c r="A328">
        <f>_400_j_pdf[[#This Row],[コード]]</f>
        <v>8584</v>
      </c>
      <c r="B328" t="str" cm="1">
        <f t="array" ref="B328">_xll.RssMarket(jpx400chart[[#This Row],[コード]],jpx400chart[[#Headers],[銘柄名称]])</f>
        <v>ジャックス</v>
      </c>
      <c r="C328" cm="1">
        <f t="array" ref="C328">_xll.RssMarket(jpx400chart[[#This Row],[コード]],jpx400chart[[#Headers],[現在値]])</f>
        <v>4240</v>
      </c>
      <c r="D328" t="str">
        <f>"'[jpx400_data.xlsm]"&amp;jpx400chart[[#This Row],[コード]]&amp;"'!"&amp;"tbl"&amp;jpx400chart[[#This Row],[コード]]&amp;"_[#見出し]"</f>
        <v>'[jpx400_data.xlsm]8584'!tbl8584_[#見出し]</v>
      </c>
      <c r="E328" t="str" cm="1">
        <f t="array" ref="E328">_xll.RssChartPast(INDIRECT(jpx400chart[[#This Row],[ヘッダー行]]), jpx400chart[[#This Row],[コード]], "D",20160401,3000)</f>
        <v>=RssChartPast(INDIRECT([@ヘッダー行]), [@コード], "D",20160401,3000) =&gt; 完了</v>
      </c>
    </row>
    <row r="329" spans="1:5" x14ac:dyDescent="0.45">
      <c r="A329">
        <f>_400_j_pdf[[#This Row],[コード]]</f>
        <v>8591</v>
      </c>
      <c r="B329" t="str" cm="1">
        <f t="array" ref="B329">_xll.RssMarket(jpx400chart[[#This Row],[コード]],jpx400chart[[#Headers],[銘柄名称]])</f>
        <v>オリックス</v>
      </c>
      <c r="C329" cm="1">
        <f t="array" ref="C329">_xll.RssMarket(jpx400chart[[#This Row],[コード]],jpx400chart[[#Headers],[現在値]])</f>
        <v>4654</v>
      </c>
      <c r="D329" t="str">
        <f>"'[jpx400_data.xlsm]"&amp;jpx400chart[[#This Row],[コード]]&amp;"'!"&amp;"tbl"&amp;jpx400chart[[#This Row],[コード]]&amp;"_[#見出し]"</f>
        <v>'[jpx400_data.xlsm]8591'!tbl8591_[#見出し]</v>
      </c>
      <c r="E329" t="str" cm="1">
        <f t="array" ref="E329">_xll.RssChartPast(INDIRECT(jpx400chart[[#This Row],[ヘッダー行]]), jpx400chart[[#This Row],[コード]], "D",20160401,3000)</f>
        <v>=RssChartPast(INDIRECT([@ヘッダー行]), [@コード], "D",20160401,3000) =&gt; 完了</v>
      </c>
    </row>
    <row r="330" spans="1:5" x14ac:dyDescent="0.45">
      <c r="A330">
        <f>_400_j_pdf[[#This Row],[コード]]</f>
        <v>8593</v>
      </c>
      <c r="B330" t="str" cm="1">
        <f t="array" ref="B330">_xll.RssMarket(jpx400chart[[#This Row],[コード]],jpx400chart[[#Headers],[銘柄名称]])</f>
        <v>三菱ＨＣキャピタル</v>
      </c>
      <c r="C330" cm="1">
        <f t="array" ref="C330">_xll.RssMarket(jpx400chart[[#This Row],[コード]],jpx400chart[[#Headers],[現在値]])</f>
        <v>1330.5</v>
      </c>
      <c r="D330" t="str">
        <f>"'[jpx400_data.xlsm]"&amp;jpx400chart[[#This Row],[コード]]&amp;"'!"&amp;"tbl"&amp;jpx400chart[[#This Row],[コード]]&amp;"_[#見出し]"</f>
        <v>'[jpx400_data.xlsm]8593'!tbl8593_[#見出し]</v>
      </c>
      <c r="E330" t="str" cm="1">
        <f t="array" ref="E330">_xll.RssChartPast(INDIRECT(jpx400chart[[#This Row],[ヘッダー行]]), jpx400chart[[#This Row],[コード]], "D",20160401,3000)</f>
        <v>=RssChartPast(INDIRECT([@ヘッダー行]), [@コード], "D",20160401,3000) =&gt; 完了</v>
      </c>
    </row>
    <row r="331" spans="1:5" x14ac:dyDescent="0.45">
      <c r="A331">
        <f>_400_j_pdf[[#This Row],[コード]]</f>
        <v>8601</v>
      </c>
      <c r="B331" t="str" cm="1">
        <f t="array" ref="B331">_xll.RssMarket(jpx400chart[[#This Row],[コード]],jpx400chart[[#Headers],[銘柄名称]])</f>
        <v>大和証券Ｇ本社</v>
      </c>
      <c r="C331" cm="1">
        <f t="array" ref="C331">_xll.RssMarket(jpx400chart[[#This Row],[コード]],jpx400chart[[#Headers],[現在値]])</f>
        <v>1495.5</v>
      </c>
      <c r="D331" t="str">
        <f>"'[jpx400_data.xlsm]"&amp;jpx400chart[[#This Row],[コード]]&amp;"'!"&amp;"tbl"&amp;jpx400chart[[#This Row],[コード]]&amp;"_[#見出し]"</f>
        <v>'[jpx400_data.xlsm]8601'!tbl8601_[#見出し]</v>
      </c>
      <c r="E331" t="str" cm="1">
        <f t="array" ref="E331">_xll.RssChartPast(INDIRECT(jpx400chart[[#This Row],[ヘッダー行]]), jpx400chart[[#This Row],[コード]], "D",20160401,3000)</f>
        <v>=RssChartPast(INDIRECT([@ヘッダー行]), [@コード], "D",20160401,3000) =&gt; 完了</v>
      </c>
    </row>
    <row r="332" spans="1:5" x14ac:dyDescent="0.45">
      <c r="A332">
        <f>_400_j_pdf[[#This Row],[コード]]</f>
        <v>8604</v>
      </c>
      <c r="B332" t="str" cm="1">
        <f t="array" ref="B332">_xll.RssMarket(jpx400chart[[#This Row],[コード]],jpx400chart[[#Headers],[銘柄名称]])</f>
        <v>野村ホールディングス</v>
      </c>
      <c r="C332" cm="1">
        <f t="array" ref="C332">_xll.RssMarket(jpx400chart[[#This Row],[コード]],jpx400chart[[#Headers],[現在値]])</f>
        <v>1391</v>
      </c>
      <c r="D332" t="str">
        <f>"'[jpx400_data.xlsm]"&amp;jpx400chart[[#This Row],[コード]]&amp;"'!"&amp;"tbl"&amp;jpx400chart[[#This Row],[コード]]&amp;"_[#見出し]"</f>
        <v>'[jpx400_data.xlsm]8604'!tbl8604_[#見出し]</v>
      </c>
      <c r="E332" t="str" cm="1">
        <f t="array" ref="E332">_xll.RssChartPast(INDIRECT(jpx400chart[[#This Row],[ヘッダー行]]), jpx400chart[[#This Row],[コード]], "D",20160401,3000)</f>
        <v>=RssChartPast(INDIRECT([@ヘッダー行]), [@コード], "D",20160401,3000) =&gt; 完了</v>
      </c>
    </row>
    <row r="333" spans="1:5" x14ac:dyDescent="0.45">
      <c r="A333">
        <f>_400_j_pdf[[#This Row],[コード]]</f>
        <v>8630</v>
      </c>
      <c r="B333" t="str" cm="1">
        <f t="array" ref="B333">_xll.RssMarket(jpx400chart[[#This Row],[コード]],jpx400chart[[#Headers],[銘柄名称]])</f>
        <v>ＳＯＭＰＯホールディングス</v>
      </c>
      <c r="C333" cm="1">
        <f t="array" ref="C333">_xll.RssMarket(jpx400chart[[#This Row],[コード]],jpx400chart[[#Headers],[現在値]])</f>
        <v>5330</v>
      </c>
      <c r="D333" t="str">
        <f>"'[jpx400_data.xlsm]"&amp;jpx400chart[[#This Row],[コード]]&amp;"'!"&amp;"tbl"&amp;jpx400chart[[#This Row],[コード]]&amp;"_[#見出し]"</f>
        <v>'[jpx400_data.xlsm]8630'!tbl8630_[#見出し]</v>
      </c>
      <c r="E333" t="str" cm="1">
        <f t="array" ref="E333">_xll.RssChartPast(INDIRECT(jpx400chart[[#This Row],[ヘッダー行]]), jpx400chart[[#This Row],[コード]], "D",20160401,3000)</f>
        <v>=RssChartPast(INDIRECT([@ヘッダー行]), [@コード], "D",20160401,3000) =&gt; 完了</v>
      </c>
    </row>
    <row r="334" spans="1:5" x14ac:dyDescent="0.45">
      <c r="A334">
        <f>_400_j_pdf[[#This Row],[コード]]</f>
        <v>8697</v>
      </c>
      <c r="B334" t="str" cm="1">
        <f t="array" ref="B334">_xll.RssMarket(jpx400chart[[#This Row],[コード]],jpx400chart[[#Headers],[銘柄名称]])</f>
        <v>日本取引所グループ</v>
      </c>
      <c r="C334" cm="1">
        <f t="array" ref="C334">_xll.RssMarket(jpx400chart[[#This Row],[コード]],jpx400chart[[#Headers],[現在値]])</f>
        <v>1735.5</v>
      </c>
      <c r="D334" t="str">
        <f>"'[jpx400_data.xlsm]"&amp;jpx400chart[[#This Row],[コード]]&amp;"'!"&amp;"tbl"&amp;jpx400chart[[#This Row],[コード]]&amp;"_[#見出し]"</f>
        <v>'[jpx400_data.xlsm]8697'!tbl8697_[#見出し]</v>
      </c>
      <c r="E334" t="str" cm="1">
        <f t="array" ref="E334">_xll.RssChartPast(INDIRECT(jpx400chart[[#This Row],[ヘッダー行]]), jpx400chart[[#This Row],[コード]], "D",20160401,3000)</f>
        <v>=RssChartPast(INDIRECT([@ヘッダー行]), [@コード], "D",20160401,3000) =&gt; 完了</v>
      </c>
    </row>
    <row r="335" spans="1:5" x14ac:dyDescent="0.45">
      <c r="A335">
        <f>_400_j_pdf[[#This Row],[コード]]</f>
        <v>8725</v>
      </c>
      <c r="B335" t="str" cm="1">
        <f t="array" ref="B335">_xll.RssMarket(jpx400chart[[#This Row],[コード]],jpx400chart[[#Headers],[銘柄名称]])</f>
        <v>ＭＳ＆ＡＤ</v>
      </c>
      <c r="C335" cm="1">
        <f t="array" ref="C335">_xll.RssMarket(jpx400chart[[#This Row],[コード]],jpx400chart[[#Headers],[現在値]])</f>
        <v>3919</v>
      </c>
      <c r="D335" t="str">
        <f>"'[jpx400_data.xlsm]"&amp;jpx400chart[[#This Row],[コード]]&amp;"'!"&amp;"tbl"&amp;jpx400chart[[#This Row],[コード]]&amp;"_[#見出し]"</f>
        <v>'[jpx400_data.xlsm]8725'!tbl8725_[#見出し]</v>
      </c>
      <c r="E335" t="str" cm="1">
        <f t="array" ref="E335">_xll.RssChartPast(INDIRECT(jpx400chart[[#This Row],[ヘッダー行]]), jpx400chart[[#This Row],[コード]], "D",20160401,3000)</f>
        <v>=RssChartPast(INDIRECT([@ヘッダー行]), [@コード], "D",20160401,3000) =&gt; 完了</v>
      </c>
    </row>
    <row r="336" spans="1:5" x14ac:dyDescent="0.45">
      <c r="A336">
        <f>_400_j_pdf[[#This Row],[コード]]</f>
        <v>8729</v>
      </c>
      <c r="B336" t="str" cm="1">
        <f t="array" ref="B336">_xll.RssMarket(jpx400chart[[#This Row],[コード]],jpx400chart[[#Headers],[銘柄名称]])</f>
        <v>ソニーフィナンシャルグループ</v>
      </c>
      <c r="C336" cm="1">
        <f t="array" ref="C336">_xll.RssMarket(jpx400chart[[#This Row],[コード]],jpx400chart[[#Headers],[現在値]])</f>
        <v>153.4</v>
      </c>
      <c r="D336" t="str">
        <f>"'[jpx400_data.xlsm]"&amp;jpx400chart[[#This Row],[コード]]&amp;"'!"&amp;"tbl"&amp;jpx400chart[[#This Row],[コード]]&amp;"_[#見出し]"</f>
        <v>'[jpx400_data.xlsm]8729'!tbl8729_[#見出し]</v>
      </c>
      <c r="E336" t="str" cm="1">
        <f t="array" ref="E336">_xll.RssChartPast(INDIRECT(jpx400chart[[#This Row],[ヘッダー行]]), jpx400chart[[#This Row],[コード]], "D",20160401,3000)</f>
        <v>=RssChartPast(INDIRECT([@ヘッダー行]), [@コード], "D",20160401,3000) =&gt; 完了</v>
      </c>
    </row>
    <row r="337" spans="1:5" x14ac:dyDescent="0.45">
      <c r="A337">
        <f>_400_j_pdf[[#This Row],[コード]]</f>
        <v>8750</v>
      </c>
      <c r="B337" t="str" cm="1">
        <f t="array" ref="B337">_xll.RssMarket(jpx400chart[[#This Row],[コード]],jpx400chart[[#Headers],[銘柄名称]])</f>
        <v>第一生命ＨＬＤＧＳ</v>
      </c>
      <c r="C337" cm="1">
        <f t="array" ref="C337">_xll.RssMarket(jpx400chart[[#This Row],[コード]],jpx400chart[[#Headers],[現在値]])</f>
        <v>1329</v>
      </c>
      <c r="D337" t="str">
        <f>"'[jpx400_data.xlsm]"&amp;jpx400chart[[#This Row],[コード]]&amp;"'!"&amp;"tbl"&amp;jpx400chart[[#This Row],[コード]]&amp;"_[#見出し]"</f>
        <v>'[jpx400_data.xlsm]8750'!tbl8750_[#見出し]</v>
      </c>
      <c r="E337" t="str" cm="1">
        <f t="array" ref="E337">_xll.RssChartPast(INDIRECT(jpx400chart[[#This Row],[ヘッダー行]]), jpx400chart[[#This Row],[コード]], "D",20160401,3000)</f>
        <v>=RssChartPast(INDIRECT([@ヘッダー行]), [@コード], "D",20160401,3000) =&gt; 完了</v>
      </c>
    </row>
    <row r="338" spans="1:5" x14ac:dyDescent="0.45">
      <c r="A338">
        <f>_400_j_pdf[[#This Row],[コード]]</f>
        <v>8766</v>
      </c>
      <c r="B338" t="str" cm="1">
        <f t="array" ref="B338">_xll.RssMarket(jpx400chart[[#This Row],[コード]],jpx400chart[[#Headers],[銘柄名称]])</f>
        <v>東京海上ＨＤ</v>
      </c>
      <c r="C338" cm="1">
        <f t="array" ref="C338">_xll.RssMarket(jpx400chart[[#This Row],[コード]],jpx400chart[[#Headers],[現在値]])</f>
        <v>5638</v>
      </c>
      <c r="D338" t="str">
        <f>"'[jpx400_data.xlsm]"&amp;jpx400chart[[#This Row],[コード]]&amp;"'!"&amp;"tbl"&amp;jpx400chart[[#This Row],[コード]]&amp;"_[#見出し]"</f>
        <v>'[jpx400_data.xlsm]8766'!tbl8766_[#見出し]</v>
      </c>
      <c r="E338" t="str" cm="1">
        <f t="array" ref="E338">_xll.RssChartPast(INDIRECT(jpx400chart[[#This Row],[ヘッダー行]]), jpx400chart[[#This Row],[コード]], "D",20160401,3000)</f>
        <v>=RssChartPast(INDIRECT([@ヘッダー行]), [@コード], "D",20160401,3000) =&gt; 完了</v>
      </c>
    </row>
    <row r="339" spans="1:5" x14ac:dyDescent="0.45">
      <c r="A339">
        <f>_400_j_pdf[[#This Row],[コード]]</f>
        <v>8801</v>
      </c>
      <c r="B339" t="str" cm="1">
        <f t="array" ref="B339">_xll.RssMarket(jpx400chart[[#This Row],[コード]],jpx400chart[[#Headers],[銘柄名称]])</f>
        <v>三井不動産</v>
      </c>
      <c r="C339" cm="1">
        <f t="array" ref="C339">_xll.RssMarket(jpx400chart[[#This Row],[コード]],jpx400chart[[#Headers],[現在値]])</f>
        <v>1739</v>
      </c>
      <c r="D339" t="str">
        <f>"'[jpx400_data.xlsm]"&amp;jpx400chart[[#This Row],[コード]]&amp;"'!"&amp;"tbl"&amp;jpx400chart[[#This Row],[コード]]&amp;"_[#見出し]"</f>
        <v>'[jpx400_data.xlsm]8801'!tbl8801_[#見出し]</v>
      </c>
      <c r="E339" t="str" cm="1">
        <f t="array" ref="E339">_xll.RssChartPast(INDIRECT(jpx400chart[[#This Row],[ヘッダー行]]), jpx400chart[[#This Row],[コード]], "D",20160401,3000)</f>
        <v>=RssChartPast(INDIRECT([@ヘッダー行]), [@コード], "D",20160401,3000) =&gt; 完了</v>
      </c>
    </row>
    <row r="340" spans="1:5" x14ac:dyDescent="0.45">
      <c r="A340">
        <f>_400_j_pdf[[#This Row],[コード]]</f>
        <v>8802</v>
      </c>
      <c r="B340" t="str" cm="1">
        <f t="array" ref="B340">_xll.RssMarket(jpx400chart[[#This Row],[コード]],jpx400chart[[#Headers],[銘柄名称]])</f>
        <v>三菱地所</v>
      </c>
      <c r="C340" cm="1">
        <f t="array" ref="C340">_xll.RssMarket(jpx400chart[[#This Row],[コード]],jpx400chart[[#Headers],[現在値]])</f>
        <v>3879</v>
      </c>
      <c r="D340" t="str">
        <f>"'[jpx400_data.xlsm]"&amp;jpx400chart[[#This Row],[コード]]&amp;"'!"&amp;"tbl"&amp;jpx400chart[[#This Row],[コード]]&amp;"_[#見出し]"</f>
        <v>'[jpx400_data.xlsm]8802'!tbl8802_[#見出し]</v>
      </c>
      <c r="E340" t="str" cm="1">
        <f t="array" ref="E340">_xll.RssChartPast(INDIRECT(jpx400chart[[#This Row],[ヘッダー行]]), jpx400chart[[#This Row],[コード]], "D",20160401,3000)</f>
        <v>=RssChartPast(INDIRECT([@ヘッダー行]), [@コード], "D",20160401,3000) =&gt; 完了</v>
      </c>
    </row>
    <row r="341" spans="1:5" x14ac:dyDescent="0.45">
      <c r="A341">
        <f>_400_j_pdf[[#This Row],[コード]]</f>
        <v>8804</v>
      </c>
      <c r="B341" t="str" cm="1">
        <f t="array" ref="B341">_xll.RssMarket(jpx400chart[[#This Row],[コード]],jpx400chart[[#Headers],[銘柄名称]])</f>
        <v>東京建物</v>
      </c>
      <c r="C341" cm="1">
        <f t="array" ref="C341">_xll.RssMarket(jpx400chart[[#This Row],[コード]],jpx400chart[[#Headers],[現在値]])</f>
        <v>3625</v>
      </c>
      <c r="D341" t="str">
        <f>"'[jpx400_data.xlsm]"&amp;jpx400chart[[#This Row],[コード]]&amp;"'!"&amp;"tbl"&amp;jpx400chart[[#This Row],[コード]]&amp;"_[#見出し]"</f>
        <v>'[jpx400_data.xlsm]8804'!tbl8804_[#見出し]</v>
      </c>
      <c r="E341" t="str" cm="1">
        <f t="array" ref="E341">_xll.RssChartPast(INDIRECT(jpx400chart[[#This Row],[ヘッダー行]]), jpx400chart[[#This Row],[コード]], "D",20160401,3000)</f>
        <v>=RssChartPast(INDIRECT([@ヘッダー行]), [@コード], "D",20160401,3000) =&gt; 完了</v>
      </c>
    </row>
    <row r="342" spans="1:5" x14ac:dyDescent="0.45">
      <c r="A342">
        <f>_400_j_pdf[[#This Row],[コード]]</f>
        <v>8830</v>
      </c>
      <c r="B342" t="str" cm="1">
        <f t="array" ref="B342">_xll.RssMarket(jpx400chart[[#This Row],[コード]],jpx400chart[[#Headers],[銘柄名称]])</f>
        <v>住友不動産</v>
      </c>
      <c r="C342" cm="1">
        <f t="array" ref="C342">_xll.RssMarket(jpx400chart[[#This Row],[コード]],jpx400chart[[#Headers],[現在値]])</f>
        <v>4241</v>
      </c>
      <c r="D342" t="str">
        <f>"'[jpx400_data.xlsm]"&amp;jpx400chart[[#This Row],[コード]]&amp;"'!"&amp;"tbl"&amp;jpx400chart[[#This Row],[コード]]&amp;"_[#見出し]"</f>
        <v>'[jpx400_data.xlsm]8830'!tbl8830_[#見出し]</v>
      </c>
      <c r="E342" t="str" cm="1">
        <f t="array" ref="E342">_xll.RssChartPast(INDIRECT(jpx400chart[[#This Row],[ヘッダー行]]), jpx400chart[[#This Row],[コード]], "D",20160401,3000)</f>
        <v>=RssChartPast(INDIRECT([@ヘッダー行]), [@コード], "D",20160401,3000) =&gt; 完了</v>
      </c>
    </row>
    <row r="343" spans="1:5" x14ac:dyDescent="0.45">
      <c r="A343">
        <f>_400_j_pdf[[#This Row],[コード]]</f>
        <v>8848</v>
      </c>
      <c r="B343" t="str" cm="1">
        <f t="array" ref="B343">_xll.RssMarket(jpx400chart[[#This Row],[コード]],jpx400chart[[#Headers],[銘柄名称]])</f>
        <v>レオパレス２１</v>
      </c>
      <c r="C343" cm="1">
        <f t="array" ref="C343">_xll.RssMarket(jpx400chart[[#This Row],[コード]],jpx400chart[[#Headers],[現在値]])</f>
        <v>690</v>
      </c>
      <c r="D343" t="str">
        <f>"'[jpx400_data.xlsm]"&amp;jpx400chart[[#This Row],[コード]]&amp;"'!"&amp;"tbl"&amp;jpx400chart[[#This Row],[コード]]&amp;"_[#見出し]"</f>
        <v>'[jpx400_data.xlsm]8848'!tbl8848_[#見出し]</v>
      </c>
      <c r="E343" t="str" cm="1">
        <f t="array" ref="E343">_xll.RssChartPast(INDIRECT(jpx400chart[[#This Row],[ヘッダー行]]), jpx400chart[[#This Row],[コード]], "D",20160401,3000)</f>
        <v>=RssChartPast(INDIRECT([@ヘッダー行]), [@コード], "D",20160401,3000) =&gt; 完了</v>
      </c>
    </row>
    <row r="344" spans="1:5" x14ac:dyDescent="0.45">
      <c r="A344">
        <f>_400_j_pdf[[#This Row],[コード]]</f>
        <v>8850</v>
      </c>
      <c r="B344" t="str" cm="1">
        <f t="array" ref="B344">_xll.RssMarket(jpx400chart[[#This Row],[コード]],jpx400chart[[#Headers],[銘柄名称]])</f>
        <v>スターツコーポレーション</v>
      </c>
      <c r="C344" cm="1">
        <f t="array" ref="C344">_xll.RssMarket(jpx400chart[[#This Row],[コード]],jpx400chart[[#Headers],[現在値]])</f>
        <v>4850</v>
      </c>
      <c r="D344" t="str">
        <f>"'[jpx400_data.xlsm]"&amp;jpx400chart[[#This Row],[コード]]&amp;"'!"&amp;"tbl"&amp;jpx400chart[[#This Row],[コード]]&amp;"_[#見出し]"</f>
        <v>'[jpx400_data.xlsm]8850'!tbl8850_[#見出し]</v>
      </c>
      <c r="E344" t="str" cm="1">
        <f t="array" ref="E344">_xll.RssChartPast(INDIRECT(jpx400chart[[#This Row],[ヘッダー行]]), jpx400chart[[#This Row],[コード]], "D",20160401,3000)</f>
        <v>=RssChartPast(INDIRECT([@ヘッダー行]), [@コード], "D",20160401,3000) =&gt; 完了</v>
      </c>
    </row>
    <row r="345" spans="1:5" x14ac:dyDescent="0.45">
      <c r="A345">
        <f>_400_j_pdf[[#This Row],[コード]]</f>
        <v>8876</v>
      </c>
      <c r="B345" t="str" cm="1">
        <f t="array" ref="B345">_xll.RssMarket(jpx400chart[[#This Row],[コード]],jpx400chart[[#Headers],[銘柄名称]])</f>
        <v>リログループ</v>
      </c>
      <c r="C345" cm="1">
        <f t="array" ref="C345">_xll.RssMarket(jpx400chart[[#This Row],[コード]],jpx400chart[[#Headers],[現在値]])</f>
        <v>1779</v>
      </c>
      <c r="D345" t="str">
        <f>"'[jpx400_data.xlsm]"&amp;jpx400chart[[#This Row],[コード]]&amp;"'!"&amp;"tbl"&amp;jpx400chart[[#This Row],[コード]]&amp;"_[#見出し]"</f>
        <v>'[jpx400_data.xlsm]8876'!tbl8876_[#見出し]</v>
      </c>
      <c r="E345" t="str" cm="1">
        <f t="array" ref="E345">_xll.RssChartPast(INDIRECT(jpx400chart[[#This Row],[ヘッダー行]]), jpx400chart[[#This Row],[コード]], "D",20160401,3000)</f>
        <v>=RssChartPast(INDIRECT([@ヘッダー行]), [@コード], "D",20160401,3000) =&gt; 完了</v>
      </c>
    </row>
    <row r="346" spans="1:5" x14ac:dyDescent="0.45">
      <c r="A346">
        <f>_400_j_pdf[[#This Row],[コード]]</f>
        <v>8919</v>
      </c>
      <c r="B346" t="str" cm="1">
        <f t="array" ref="B346">_xll.RssMarket(jpx400chart[[#This Row],[コード]],jpx400chart[[#Headers],[銘柄名称]])</f>
        <v>カチタス</v>
      </c>
      <c r="C346" cm="1">
        <f t="array" ref="C346">_xll.RssMarket(jpx400chart[[#This Row],[コード]],jpx400chart[[#Headers],[現在値]])</f>
        <v>3125</v>
      </c>
      <c r="D346" t="str">
        <f>"'[jpx400_data.xlsm]"&amp;jpx400chart[[#This Row],[コード]]&amp;"'!"&amp;"tbl"&amp;jpx400chart[[#This Row],[コード]]&amp;"_[#見出し]"</f>
        <v>'[jpx400_data.xlsm]8919'!tbl8919_[#見出し]</v>
      </c>
      <c r="E346" t="str" cm="1">
        <f t="array" ref="E346">_xll.RssChartPast(INDIRECT(jpx400chart[[#This Row],[ヘッダー行]]), jpx400chart[[#This Row],[コード]], "D",20160401,3000)</f>
        <v>=RssChartPast(INDIRECT([@ヘッダー行]), [@コード], "D",20160401,3000) =&gt; 完了</v>
      </c>
    </row>
    <row r="347" spans="1:5" x14ac:dyDescent="0.45">
      <c r="A347">
        <f>_400_j_pdf[[#This Row],[コード]]</f>
        <v>8923</v>
      </c>
      <c r="B347" t="str" cm="1">
        <f t="array" ref="B347">_xll.RssMarket(jpx400chart[[#This Row],[コード]],jpx400chart[[#Headers],[銘柄名称]])</f>
        <v>トーセイ</v>
      </c>
      <c r="C347" cm="1">
        <f t="array" ref="C347">_xll.RssMarket(jpx400chart[[#This Row],[コード]],jpx400chart[[#Headers],[現在値]])</f>
        <v>1580</v>
      </c>
      <c r="D347" t="str">
        <f>"'[jpx400_data.xlsm]"&amp;jpx400chart[[#This Row],[コード]]&amp;"'!"&amp;"tbl"&amp;jpx400chart[[#This Row],[コード]]&amp;"_[#見出し]"</f>
        <v>'[jpx400_data.xlsm]8923'!tbl8923_[#見出し]</v>
      </c>
      <c r="E347" t="str" cm="1">
        <f t="array" ref="E347">_xll.RssChartPast(INDIRECT(jpx400chart[[#This Row],[ヘッダー行]]), jpx400chart[[#This Row],[コード]], "D",20160401,3000)</f>
        <v>=RssChartPast(INDIRECT([@ヘッダー行]), [@コード], "D",20160401,3000) =&gt; 完了</v>
      </c>
    </row>
    <row r="348" spans="1:5" x14ac:dyDescent="0.45">
      <c r="A348">
        <f>_400_j_pdf[[#This Row],[コード]]</f>
        <v>9005</v>
      </c>
      <c r="B348" t="str" cm="1">
        <f t="array" ref="B348">_xll.RssMarket(jpx400chart[[#This Row],[コード]],jpx400chart[[#Headers],[銘柄名称]])</f>
        <v>東急</v>
      </c>
      <c r="C348" cm="1">
        <f t="array" ref="C348">_xll.RssMarket(jpx400chart[[#This Row],[コード]],jpx400chart[[#Headers],[現在値]])</f>
        <v>1736</v>
      </c>
      <c r="D348" t="str">
        <f>"'[jpx400_data.xlsm]"&amp;jpx400chart[[#This Row],[コード]]&amp;"'!"&amp;"tbl"&amp;jpx400chart[[#This Row],[コード]]&amp;"_[#見出し]"</f>
        <v>'[jpx400_data.xlsm]9005'!tbl9005_[#見出し]</v>
      </c>
      <c r="E348" t="str" cm="1">
        <f t="array" ref="E348">_xll.RssChartPast(INDIRECT(jpx400chart[[#This Row],[ヘッダー行]]), jpx400chart[[#This Row],[コード]], "D",20160401,3000)</f>
        <v>=RssChartPast(INDIRECT([@ヘッダー行]), [@コード], "D",20160401,3000) =&gt; 完了</v>
      </c>
    </row>
    <row r="349" spans="1:5" x14ac:dyDescent="0.45">
      <c r="A349">
        <f>_400_j_pdf[[#This Row],[コード]]</f>
        <v>9006</v>
      </c>
      <c r="B349" t="str" cm="1">
        <f t="array" ref="B349">_xll.RssMarket(jpx400chart[[#This Row],[コード]],jpx400chart[[#Headers],[銘柄名称]])</f>
        <v>京浜急行</v>
      </c>
      <c r="C349" cm="1">
        <f t="array" ref="C349">_xll.RssMarket(jpx400chart[[#This Row],[コード]],jpx400chart[[#Headers],[現在値]])</f>
        <v>1528</v>
      </c>
      <c r="D349" t="str">
        <f>"'[jpx400_data.xlsm]"&amp;jpx400chart[[#This Row],[コード]]&amp;"'!"&amp;"tbl"&amp;jpx400chart[[#This Row],[コード]]&amp;"_[#見出し]"</f>
        <v>'[jpx400_data.xlsm]9006'!tbl9006_[#見出し]</v>
      </c>
      <c r="E349" t="str" cm="1">
        <f t="array" ref="E349">_xll.RssChartPast(INDIRECT(jpx400chart[[#This Row],[ヘッダー行]]), jpx400chart[[#This Row],[コード]], "D",20160401,3000)</f>
        <v>=RssChartPast(INDIRECT([@ヘッダー行]), [@コード], "D",20160401,3000) =&gt; 完了</v>
      </c>
    </row>
    <row r="350" spans="1:5" x14ac:dyDescent="0.45">
      <c r="A350">
        <f>_400_j_pdf[[#This Row],[コード]]</f>
        <v>9007</v>
      </c>
      <c r="B350" t="str" cm="1">
        <f t="array" ref="B350">_xll.RssMarket(jpx400chart[[#This Row],[コード]],jpx400chart[[#Headers],[銘柄名称]])</f>
        <v>小田急電鉄</v>
      </c>
      <c r="C350" cm="1">
        <f t="array" ref="C350">_xll.RssMarket(jpx400chart[[#This Row],[コード]],jpx400chart[[#Headers],[現在値]])</f>
        <v>1674.5</v>
      </c>
      <c r="D350" t="str">
        <f>"'[jpx400_data.xlsm]"&amp;jpx400chart[[#This Row],[コード]]&amp;"'!"&amp;"tbl"&amp;jpx400chart[[#This Row],[コード]]&amp;"_[#見出し]"</f>
        <v>'[jpx400_data.xlsm]9007'!tbl9007_[#見出し]</v>
      </c>
      <c r="E350" t="str" cm="1">
        <f t="array" ref="E350">_xll.RssChartPast(INDIRECT(jpx400chart[[#This Row],[ヘッダー行]]), jpx400chart[[#This Row],[コード]], "D",20160401,3000)</f>
        <v>=RssChartPast(INDIRECT([@ヘッダー行]), [@コード], "D",20160401,3000) =&gt; 完了</v>
      </c>
    </row>
    <row r="351" spans="1:5" x14ac:dyDescent="0.45">
      <c r="A351">
        <f>_400_j_pdf[[#This Row],[コード]]</f>
        <v>9008</v>
      </c>
      <c r="B351" t="str" cm="1">
        <f t="array" ref="B351">_xll.RssMarket(jpx400chart[[#This Row],[コード]],jpx400chart[[#Headers],[銘柄名称]])</f>
        <v>京王電鉄</v>
      </c>
      <c r="C351" cm="1">
        <f t="array" ref="C351">_xll.RssMarket(jpx400chart[[#This Row],[コード]],jpx400chart[[#Headers],[現在値]])</f>
        <v>3884</v>
      </c>
      <c r="D351" t="str">
        <f>"'[jpx400_data.xlsm]"&amp;jpx400chart[[#This Row],[コード]]&amp;"'!"&amp;"tbl"&amp;jpx400chart[[#This Row],[コード]]&amp;"_[#見出し]"</f>
        <v>'[jpx400_data.xlsm]9008'!tbl9008_[#見出し]</v>
      </c>
      <c r="E351" t="str" cm="1">
        <f t="array" ref="E351">_xll.RssChartPast(INDIRECT(jpx400chart[[#This Row],[ヘッダー行]]), jpx400chart[[#This Row],[コード]], "D",20160401,3000)</f>
        <v>=RssChartPast(INDIRECT([@ヘッダー行]), [@コード], "D",20160401,3000) =&gt; 完了</v>
      </c>
    </row>
    <row r="352" spans="1:5" x14ac:dyDescent="0.45">
      <c r="A352">
        <f>_400_j_pdf[[#This Row],[コード]]</f>
        <v>9009</v>
      </c>
      <c r="B352" t="str" cm="1">
        <f t="array" ref="B352">_xll.RssMarket(jpx400chart[[#This Row],[コード]],jpx400chart[[#Headers],[銘柄名称]])</f>
        <v>京成電鉄</v>
      </c>
      <c r="C352" cm="1">
        <f t="array" ref="C352">_xll.RssMarket(jpx400chart[[#This Row],[コード]],jpx400chart[[#Headers],[現在値]])</f>
        <v>1243.5</v>
      </c>
      <c r="D352" t="str">
        <f>"'[jpx400_data.xlsm]"&amp;jpx400chart[[#This Row],[コード]]&amp;"'!"&amp;"tbl"&amp;jpx400chart[[#This Row],[コード]]&amp;"_[#見出し]"</f>
        <v>'[jpx400_data.xlsm]9009'!tbl9009_[#見出し]</v>
      </c>
      <c r="E352" t="str" cm="1">
        <f t="array" ref="E352">_xll.RssChartPast(INDIRECT(jpx400chart[[#This Row],[ヘッダー行]]), jpx400chart[[#This Row],[コード]], "D",20160401,3000)</f>
        <v>=RssChartPast(INDIRECT([@ヘッダー行]), [@コード], "D",20160401,3000) =&gt; 完了</v>
      </c>
    </row>
    <row r="353" spans="1:5" x14ac:dyDescent="0.45">
      <c r="A353">
        <f>_400_j_pdf[[#This Row],[コード]]</f>
        <v>9021</v>
      </c>
      <c r="B353" t="str" cm="1">
        <f t="array" ref="B353">_xll.RssMarket(jpx400chart[[#This Row],[コード]],jpx400chart[[#Headers],[銘柄名称]])</f>
        <v>西日本旅客鉄道</v>
      </c>
      <c r="C353" cm="1">
        <f t="array" ref="C353">_xll.RssMarket(jpx400chart[[#This Row],[コード]],jpx400chart[[#Headers],[現在値]])</f>
        <v>3122</v>
      </c>
      <c r="D353" t="str">
        <f>"'[jpx400_data.xlsm]"&amp;jpx400chart[[#This Row],[コード]]&amp;"'!"&amp;"tbl"&amp;jpx400chart[[#This Row],[コード]]&amp;"_[#見出し]"</f>
        <v>'[jpx400_data.xlsm]9021'!tbl9021_[#見出し]</v>
      </c>
      <c r="E353" t="str" cm="1">
        <f t="array" ref="E353">_xll.RssChartPast(INDIRECT(jpx400chart[[#This Row],[ヘッダー行]]), jpx400chart[[#This Row],[コード]], "D",20160401,3000)</f>
        <v>=RssChartPast(INDIRECT([@ヘッダー行]), [@コード], "D",20160401,3000) =&gt; 完了</v>
      </c>
    </row>
    <row r="354" spans="1:5" x14ac:dyDescent="0.45">
      <c r="A354">
        <f>_400_j_pdf[[#This Row],[コード]]</f>
        <v>9022</v>
      </c>
      <c r="B354" t="str" cm="1">
        <f t="array" ref="B354">_xll.RssMarket(jpx400chart[[#This Row],[コード]],jpx400chart[[#Headers],[銘柄名称]])</f>
        <v>東海旅客鉄道</v>
      </c>
      <c r="C354" cm="1">
        <f t="array" ref="C354">_xll.RssMarket(jpx400chart[[#This Row],[コード]],jpx400chart[[#Headers],[現在値]])</f>
        <v>4264</v>
      </c>
      <c r="D354" t="str">
        <f>"'[jpx400_data.xlsm]"&amp;jpx400chart[[#This Row],[コード]]&amp;"'!"&amp;"tbl"&amp;jpx400chart[[#This Row],[コード]]&amp;"_[#見出し]"</f>
        <v>'[jpx400_data.xlsm]9022'!tbl9022_[#見出し]</v>
      </c>
      <c r="E354" t="str" cm="1">
        <f t="array" ref="E354">_xll.RssChartPast(INDIRECT(jpx400chart[[#This Row],[ヘッダー行]]), jpx400chart[[#This Row],[コード]], "D",20160401,3000)</f>
        <v>=RssChartPast(INDIRECT([@ヘッダー行]), [@コード], "D",20160401,3000) =&gt; 完了</v>
      </c>
    </row>
    <row r="355" spans="1:5" x14ac:dyDescent="0.45">
      <c r="A355">
        <f>_400_j_pdf[[#This Row],[コード]]</f>
        <v>9024</v>
      </c>
      <c r="B355" t="str" cm="1">
        <f t="array" ref="B355">_xll.RssMarket(jpx400chart[[#This Row],[コード]],jpx400chart[[#Headers],[銘柄名称]])</f>
        <v>西武ホールディングス</v>
      </c>
      <c r="C355" cm="1">
        <f t="array" ref="C355">_xll.RssMarket(jpx400chart[[#This Row],[コード]],jpx400chart[[#Headers],[現在値]])</f>
        <v>4059</v>
      </c>
      <c r="D355" t="str">
        <f>"'[jpx400_data.xlsm]"&amp;jpx400chart[[#This Row],[コード]]&amp;"'!"&amp;"tbl"&amp;jpx400chart[[#This Row],[コード]]&amp;"_[#見出し]"</f>
        <v>'[jpx400_data.xlsm]9024'!tbl9024_[#見出し]</v>
      </c>
      <c r="E355" t="str" cm="1">
        <f t="array" ref="E355">_xll.RssChartPast(INDIRECT(jpx400chart[[#This Row],[ヘッダー行]]), jpx400chart[[#This Row],[コード]], "D",20160401,3000)</f>
        <v>=RssChartPast(INDIRECT([@ヘッダー行]), [@コード], "D",20160401,3000) =&gt; 完了</v>
      </c>
    </row>
    <row r="356" spans="1:5" x14ac:dyDescent="0.45">
      <c r="A356">
        <f>_400_j_pdf[[#This Row],[コード]]</f>
        <v>9041</v>
      </c>
      <c r="B356" t="str" cm="1">
        <f t="array" ref="B356">_xll.RssMarket(jpx400chart[[#This Row],[コード]],jpx400chart[[#Headers],[銘柄名称]])</f>
        <v>近鉄グループＨＬＤＧＳ</v>
      </c>
      <c r="C356" cm="1">
        <f t="array" ref="C356">_xll.RssMarket(jpx400chart[[#This Row],[コード]],jpx400chart[[#Headers],[現在値]])</f>
        <v>3201</v>
      </c>
      <c r="D356" t="str">
        <f>"'[jpx400_data.xlsm]"&amp;jpx400chart[[#This Row],[コード]]&amp;"'!"&amp;"tbl"&amp;jpx400chart[[#This Row],[コード]]&amp;"_[#見出し]"</f>
        <v>'[jpx400_data.xlsm]9041'!tbl9041_[#見出し]</v>
      </c>
      <c r="E356" t="str" cm="1">
        <f t="array" ref="E356">_xll.RssChartPast(INDIRECT(jpx400chart[[#This Row],[ヘッダー行]]), jpx400chart[[#This Row],[コード]], "D",20160401,3000)</f>
        <v>=RssChartPast(INDIRECT([@ヘッダー行]), [@コード], "D",20160401,3000) =&gt; 完了</v>
      </c>
    </row>
    <row r="357" spans="1:5" x14ac:dyDescent="0.45">
      <c r="A357">
        <f>_400_j_pdf[[#This Row],[コード]]</f>
        <v>9064</v>
      </c>
      <c r="B357" t="str" cm="1">
        <f t="array" ref="B357">_xll.RssMarket(jpx400chart[[#This Row],[コード]],jpx400chart[[#Headers],[銘柄名称]])</f>
        <v>ヤマトホールディングス</v>
      </c>
      <c r="C357" cm="1">
        <f t="array" ref="C357">_xll.RssMarket(jpx400chart[[#This Row],[コード]],jpx400chart[[#Headers],[現在値]])</f>
        <v>2043</v>
      </c>
      <c r="D357" t="str">
        <f>"'[jpx400_data.xlsm]"&amp;jpx400chart[[#This Row],[コード]]&amp;"'!"&amp;"tbl"&amp;jpx400chart[[#This Row],[コード]]&amp;"_[#見出し]"</f>
        <v>'[jpx400_data.xlsm]9064'!tbl9064_[#見出し]</v>
      </c>
      <c r="E357" t="str" cm="1">
        <f t="array" ref="E357">_xll.RssChartPast(INDIRECT(jpx400chart[[#This Row],[ヘッダー行]]), jpx400chart[[#This Row],[コード]], "D",20160401,3000)</f>
        <v>=RssChartPast(INDIRECT([@ヘッダー行]), [@コード], "D",20160401,3000) =&gt; 完了</v>
      </c>
    </row>
    <row r="358" spans="1:5" x14ac:dyDescent="0.45">
      <c r="A358">
        <f>_400_j_pdf[[#This Row],[コード]]</f>
        <v>9065</v>
      </c>
      <c r="B358" t="str" cm="1">
        <f t="array" ref="B358">_xll.RssMarket(jpx400chart[[#This Row],[コード]],jpx400chart[[#Headers],[銘柄名称]])</f>
        <v>山九</v>
      </c>
      <c r="C358" cm="1">
        <f t="array" ref="C358">_xll.RssMarket(jpx400chart[[#This Row],[コード]],jpx400chart[[#Headers],[現在値]])</f>
        <v>9054</v>
      </c>
      <c r="D358" t="str">
        <f>"'[jpx400_data.xlsm]"&amp;jpx400chart[[#This Row],[コード]]&amp;"'!"&amp;"tbl"&amp;jpx400chart[[#This Row],[コード]]&amp;"_[#見出し]"</f>
        <v>'[jpx400_data.xlsm]9065'!tbl9065_[#見出し]</v>
      </c>
      <c r="E358" t="str" cm="1">
        <f t="array" ref="E358">_xll.RssChartPast(INDIRECT(jpx400chart[[#This Row],[ヘッダー行]]), jpx400chart[[#This Row],[コード]], "D",20160401,3000)</f>
        <v>=RssChartPast(INDIRECT([@ヘッダー行]), [@コード], "D",20160401,3000) =&gt; 完了</v>
      </c>
    </row>
    <row r="359" spans="1:5" x14ac:dyDescent="0.45">
      <c r="A359">
        <f>_400_j_pdf[[#This Row],[コード]]</f>
        <v>9069</v>
      </c>
      <c r="B359" t="str" cm="1">
        <f t="array" ref="B359">_xll.RssMarket(jpx400chart[[#This Row],[コード]],jpx400chart[[#Headers],[銘柄名称]])</f>
        <v>センコーグループＨＬＤＧＳ</v>
      </c>
      <c r="C359" cm="1">
        <f t="array" ref="C359">_xll.RssMarket(jpx400chart[[#This Row],[コード]],jpx400chart[[#Headers],[現在値]])</f>
        <v>1998.5</v>
      </c>
      <c r="D359" t="str">
        <f>"'[jpx400_data.xlsm]"&amp;jpx400chart[[#This Row],[コード]]&amp;"'!"&amp;"tbl"&amp;jpx400chart[[#This Row],[コード]]&amp;"_[#見出し]"</f>
        <v>'[jpx400_data.xlsm]9069'!tbl9069_[#見出し]</v>
      </c>
      <c r="E359" t="str" cm="1">
        <f t="array" ref="E359">_xll.RssChartPast(INDIRECT(jpx400chart[[#This Row],[ヘッダー行]]), jpx400chart[[#This Row],[コード]], "D",20160401,3000)</f>
        <v>=RssChartPast(INDIRECT([@ヘッダー行]), [@コード], "D",20160401,3000) =&gt; 完了</v>
      </c>
    </row>
    <row r="360" spans="1:5" x14ac:dyDescent="0.45">
      <c r="A360">
        <f>_400_j_pdf[[#This Row],[コード]]</f>
        <v>9090</v>
      </c>
      <c r="B360" t="str" cm="1">
        <f t="array" ref="B360">_xll.RssMarket(jpx400chart[[#This Row],[コード]],jpx400chart[[#Headers],[銘柄名称]])</f>
        <v>ＡＺ－ＣＯＭ丸和ホールディ</v>
      </c>
      <c r="C360" cm="1">
        <f t="array" ref="C360">_xll.RssMarket(jpx400chart[[#This Row],[コード]],jpx400chart[[#Headers],[現在値]])</f>
        <v>990</v>
      </c>
      <c r="D360" t="str">
        <f>"'[jpx400_data.xlsm]"&amp;jpx400chart[[#This Row],[コード]]&amp;"'!"&amp;"tbl"&amp;jpx400chart[[#This Row],[コード]]&amp;"_[#見出し]"</f>
        <v>'[jpx400_data.xlsm]9090'!tbl9090_[#見出し]</v>
      </c>
      <c r="E360" t="str" cm="1">
        <f t="array" ref="E360">_xll.RssChartPast(INDIRECT(jpx400chart[[#This Row],[ヘッダー行]]), jpx400chart[[#This Row],[コード]], "D",20160401,3000)</f>
        <v>=RssChartPast(INDIRECT([@ヘッダー行]), [@コード], "D",20160401,3000) =&gt; 完了</v>
      </c>
    </row>
    <row r="361" spans="1:5" x14ac:dyDescent="0.45">
      <c r="A361">
        <f>_400_j_pdf[[#This Row],[コード]]</f>
        <v>9101</v>
      </c>
      <c r="B361" t="str" cm="1">
        <f t="array" ref="B361">_xll.RssMarket(jpx400chart[[#This Row],[コード]],jpx400chart[[#Headers],[銘柄名称]])</f>
        <v>日本郵船</v>
      </c>
      <c r="C361" cm="1">
        <f t="array" ref="C361">_xll.RssMarket(jpx400chart[[#This Row],[コード]],jpx400chart[[#Headers],[現在値]])</f>
        <v>4981</v>
      </c>
      <c r="D361" t="str">
        <f>"'[jpx400_data.xlsm]"&amp;jpx400chart[[#This Row],[コード]]&amp;"'!"&amp;"tbl"&amp;jpx400chart[[#This Row],[コード]]&amp;"_[#見出し]"</f>
        <v>'[jpx400_data.xlsm]9101'!tbl9101_[#見出し]</v>
      </c>
      <c r="E361" t="str" cm="1">
        <f t="array" ref="E361">_xll.RssChartPast(INDIRECT(jpx400chart[[#This Row],[ヘッダー行]]), jpx400chart[[#This Row],[コード]], "D",20160401,3000)</f>
        <v>=RssChartPast(INDIRECT([@ヘッダー行]), [@コード], "D",20160401,3000) =&gt; 完了</v>
      </c>
    </row>
    <row r="362" spans="1:5" x14ac:dyDescent="0.45">
      <c r="A362">
        <f>_400_j_pdf[[#This Row],[コード]]</f>
        <v>9104</v>
      </c>
      <c r="B362" t="str" cm="1">
        <f t="array" ref="B362">_xll.RssMarket(jpx400chart[[#This Row],[コード]],jpx400chart[[#Headers],[銘柄名称]])</f>
        <v>商船三井</v>
      </c>
      <c r="C362" cm="1">
        <f t="array" ref="C362">_xll.RssMarket(jpx400chart[[#This Row],[コード]],jpx400chart[[#Headers],[現在値]])</f>
        <v>4736</v>
      </c>
      <c r="D362" t="str">
        <f>"'[jpx400_data.xlsm]"&amp;jpx400chart[[#This Row],[コード]]&amp;"'!"&amp;"tbl"&amp;jpx400chart[[#This Row],[コード]]&amp;"_[#見出し]"</f>
        <v>'[jpx400_data.xlsm]9104'!tbl9104_[#見出し]</v>
      </c>
      <c r="E362" t="str" cm="1">
        <f t="array" ref="E362">_xll.RssChartPast(INDIRECT(jpx400chart[[#This Row],[ヘッダー行]]), jpx400chart[[#This Row],[コード]], "D",20160401,3000)</f>
        <v>=RssChartPast(INDIRECT([@ヘッダー行]), [@コード], "D",20160401,3000) =&gt; 完了</v>
      </c>
    </row>
    <row r="363" spans="1:5" x14ac:dyDescent="0.45">
      <c r="A363">
        <f>_400_j_pdf[[#This Row],[コード]]</f>
        <v>9107</v>
      </c>
      <c r="B363" t="str" cm="1">
        <f t="array" ref="B363">_xll.RssMarket(jpx400chart[[#This Row],[コード]],jpx400chart[[#Headers],[銘柄名称]])</f>
        <v>川崎汽船</v>
      </c>
      <c r="C363" cm="1">
        <f t="array" ref="C363">_xll.RssMarket(jpx400chart[[#This Row],[コード]],jpx400chart[[#Headers],[現在値]])</f>
        <v>2201.5</v>
      </c>
      <c r="D363" t="str">
        <f>"'[jpx400_data.xlsm]"&amp;jpx400chart[[#This Row],[コード]]&amp;"'!"&amp;"tbl"&amp;jpx400chart[[#This Row],[コード]]&amp;"_[#見出し]"</f>
        <v>'[jpx400_data.xlsm]9107'!tbl9107_[#見出し]</v>
      </c>
      <c r="E363" t="str" cm="1">
        <f t="array" ref="E363">_xll.RssChartPast(INDIRECT(jpx400chart[[#This Row],[ヘッダー行]]), jpx400chart[[#This Row],[コード]], "D",20160401,3000)</f>
        <v>=RssChartPast(INDIRECT([@ヘッダー行]), [@コード], "D",20160401,3000) =&gt; 完了</v>
      </c>
    </row>
    <row r="364" spans="1:5" x14ac:dyDescent="0.45">
      <c r="A364">
        <f>_400_j_pdf[[#This Row],[コード]]</f>
        <v>9110</v>
      </c>
      <c r="B364" t="str" cm="1">
        <f t="array" ref="B364">_xll.RssMarket(jpx400chart[[#This Row],[コード]],jpx400chart[[#Headers],[銘柄名称]])</f>
        <v>ＮＳユナイテッド海運</v>
      </c>
      <c r="C364" cm="1">
        <f t="array" ref="C364">_xll.RssMarket(jpx400chart[[#This Row],[コード]],jpx400chart[[#Headers],[現在値]])</f>
        <v>6730</v>
      </c>
      <c r="D364" t="str">
        <f>"'[jpx400_data.xlsm]"&amp;jpx400chart[[#This Row],[コード]]&amp;"'!"&amp;"tbl"&amp;jpx400chart[[#This Row],[コード]]&amp;"_[#見出し]"</f>
        <v>'[jpx400_data.xlsm]9110'!tbl9110_[#見出し]</v>
      </c>
      <c r="E364" t="str" cm="1">
        <f t="array" ref="E364">_xll.RssChartPast(INDIRECT(jpx400chart[[#This Row],[ヘッダー行]]), jpx400chart[[#This Row],[コード]], "D",20160401,3000)</f>
        <v>=RssChartPast(INDIRECT([@ヘッダー行]), [@コード], "D",20160401,3000) =&gt; 完了</v>
      </c>
    </row>
    <row r="365" spans="1:5" x14ac:dyDescent="0.45">
      <c r="A365">
        <f>_400_j_pdf[[#This Row],[コード]]</f>
        <v>9119</v>
      </c>
      <c r="B365" t="str" cm="1">
        <f t="array" ref="B365">_xll.RssMarket(jpx400chart[[#This Row],[コード]],jpx400chart[[#Headers],[銘柄名称]])</f>
        <v>飯野海運</v>
      </c>
      <c r="C365" cm="1">
        <f t="array" ref="C365">_xll.RssMarket(jpx400chart[[#This Row],[コード]],jpx400chart[[#Headers],[現在値]])</f>
        <v>1545</v>
      </c>
      <c r="D365" t="str">
        <f>"'[jpx400_data.xlsm]"&amp;jpx400chart[[#This Row],[コード]]&amp;"'!"&amp;"tbl"&amp;jpx400chart[[#This Row],[コード]]&amp;"_[#見出し]"</f>
        <v>'[jpx400_data.xlsm]9119'!tbl9119_[#見出し]</v>
      </c>
      <c r="E365" t="str" cm="1">
        <f t="array" ref="E365">_xll.RssChartPast(INDIRECT(jpx400chart[[#This Row],[ヘッダー行]]), jpx400chart[[#This Row],[コード]], "D",20160401,3000)</f>
        <v>=RssChartPast(INDIRECT([@ヘッダー行]), [@コード], "D",20160401,3000) =&gt; 完了</v>
      </c>
    </row>
    <row r="366" spans="1:5" x14ac:dyDescent="0.45">
      <c r="A366">
        <f>_400_j_pdf[[#This Row],[コード]]</f>
        <v>9142</v>
      </c>
      <c r="B366" t="str" cm="1">
        <f t="array" ref="B366">_xll.RssMarket(jpx400chart[[#This Row],[コード]],jpx400chart[[#Headers],[銘柄名称]])</f>
        <v>九州旅客鉄道</v>
      </c>
      <c r="C366" cm="1">
        <f t="array" ref="C366">_xll.RssMarket(jpx400chart[[#This Row],[コード]],jpx400chart[[#Headers],[現在値]])</f>
        <v>3956</v>
      </c>
      <c r="D366" t="str">
        <f>"'[jpx400_data.xlsm]"&amp;jpx400chart[[#This Row],[コード]]&amp;"'!"&amp;"tbl"&amp;jpx400chart[[#This Row],[コード]]&amp;"_[#見出し]"</f>
        <v>'[jpx400_data.xlsm]9142'!tbl9142_[#見出し]</v>
      </c>
      <c r="E366" t="str" cm="1">
        <f t="array" ref="E366">_xll.RssChartPast(INDIRECT(jpx400chart[[#This Row],[ヘッダー行]]), jpx400chart[[#This Row],[コード]], "D",20160401,3000)</f>
        <v>=RssChartPast(INDIRECT([@ヘッダー行]), [@コード], "D",20160401,3000) =&gt; 完了</v>
      </c>
    </row>
    <row r="367" spans="1:5" x14ac:dyDescent="0.45">
      <c r="A367">
        <f>_400_j_pdf[[#This Row],[コード]]</f>
        <v>9143</v>
      </c>
      <c r="B367" t="str" cm="1">
        <f t="array" ref="B367">_xll.RssMarket(jpx400chart[[#This Row],[コード]],jpx400chart[[#Headers],[銘柄名称]])</f>
        <v>ＳＧホールディングス</v>
      </c>
      <c r="C367" cm="1">
        <f t="array" ref="C367">_xll.RssMarket(jpx400chart[[#This Row],[コード]],jpx400chart[[#Headers],[現在値]])</f>
        <v>1495.5</v>
      </c>
      <c r="D367" t="str">
        <f>"'[jpx400_data.xlsm]"&amp;jpx400chart[[#This Row],[コード]]&amp;"'!"&amp;"tbl"&amp;jpx400chart[[#This Row],[コード]]&amp;"_[#見出し]"</f>
        <v>'[jpx400_data.xlsm]9143'!tbl9143_[#見出し]</v>
      </c>
      <c r="E367" t="str" cm="1">
        <f t="array" ref="E367">_xll.RssChartPast(INDIRECT(jpx400chart[[#This Row],[ヘッダー行]]), jpx400chart[[#This Row],[コード]], "D",20160401,3000)</f>
        <v>=RssChartPast(INDIRECT([@ヘッダー行]), [@コード], "D",20160401,3000) =&gt; 完了</v>
      </c>
    </row>
    <row r="368" spans="1:5" x14ac:dyDescent="0.45">
      <c r="A368">
        <f>_400_j_pdf[[#This Row],[コード]]</f>
        <v>9147</v>
      </c>
      <c r="B368" t="str" cm="1">
        <f t="array" ref="B368">_xll.RssMarket(jpx400chart[[#This Row],[コード]],jpx400chart[[#Headers],[銘柄名称]])</f>
        <v>ＮＩＰＰＯＮＥＸＰＲＥＳＳ</v>
      </c>
      <c r="C368" cm="1">
        <f t="array" ref="C368">_xll.RssMarket(jpx400chart[[#This Row],[コード]],jpx400chart[[#Headers],[現在値]])</f>
        <v>3440</v>
      </c>
      <c r="D368" t="str">
        <f>"'[jpx400_data.xlsm]"&amp;jpx400chart[[#This Row],[コード]]&amp;"'!"&amp;"tbl"&amp;jpx400chart[[#This Row],[コード]]&amp;"_[#見出し]"</f>
        <v>'[jpx400_data.xlsm]9147'!tbl9147_[#見出し]</v>
      </c>
      <c r="E368" t="str" cm="1">
        <f t="array" ref="E368">_xll.RssChartPast(INDIRECT(jpx400chart[[#This Row],[ヘッダー行]]), jpx400chart[[#This Row],[コード]], "D",20160401,3000)</f>
        <v>=RssChartPast(INDIRECT([@ヘッダー行]), [@コード], "D",20160401,3000) =&gt; 完了</v>
      </c>
    </row>
    <row r="369" spans="1:5" x14ac:dyDescent="0.45">
      <c r="A369">
        <f>_400_j_pdf[[#This Row],[コード]]</f>
        <v>9201</v>
      </c>
      <c r="B369" t="str" cm="1">
        <f t="array" ref="B369">_xll.RssMarket(jpx400chart[[#This Row],[コード]],jpx400chart[[#Headers],[銘柄名称]])</f>
        <v>日本航空</v>
      </c>
      <c r="C369" cm="1">
        <f t="array" ref="C369">_xll.RssMarket(jpx400chart[[#This Row],[コード]],jpx400chart[[#Headers],[現在値]])</f>
        <v>2910</v>
      </c>
      <c r="D369" t="str">
        <f>"'[jpx400_data.xlsm]"&amp;jpx400chart[[#This Row],[コード]]&amp;"'!"&amp;"tbl"&amp;jpx400chart[[#This Row],[コード]]&amp;"_[#見出し]"</f>
        <v>'[jpx400_data.xlsm]9201'!tbl9201_[#見出し]</v>
      </c>
      <c r="E369" t="str" cm="1">
        <f t="array" ref="E369">_xll.RssChartPast(INDIRECT(jpx400chart[[#This Row],[ヘッダー行]]), jpx400chart[[#This Row],[コード]], "D",20160401,3000)</f>
        <v>=RssChartPast(INDIRECT([@ヘッダー行]), [@コード], "D",20160401,3000) =&gt; 完了</v>
      </c>
    </row>
    <row r="370" spans="1:5" x14ac:dyDescent="0.45">
      <c r="A370">
        <f>_400_j_pdf[[#This Row],[コード]]</f>
        <v>9202</v>
      </c>
      <c r="B370" t="str" cm="1">
        <f t="array" ref="B370">_xll.RssMarket(jpx400chart[[#This Row],[コード]],jpx400chart[[#Headers],[銘柄名称]])</f>
        <v>ＡＮＡホールディングス</v>
      </c>
      <c r="C370" cm="1">
        <f t="array" ref="C370">_xll.RssMarket(jpx400chart[[#This Row],[コード]],jpx400chart[[#Headers],[現在値]])</f>
        <v>3000</v>
      </c>
      <c r="D370" t="str">
        <f>"'[jpx400_data.xlsm]"&amp;jpx400chart[[#This Row],[コード]]&amp;"'!"&amp;"tbl"&amp;jpx400chart[[#This Row],[コード]]&amp;"_[#見出し]"</f>
        <v>'[jpx400_data.xlsm]9202'!tbl9202_[#見出し]</v>
      </c>
      <c r="E370" t="str" cm="1">
        <f t="array" ref="E370">_xll.RssChartPast(INDIRECT(jpx400chart[[#This Row],[ヘッダー行]]), jpx400chart[[#This Row],[コード]], "D",20160401,3000)</f>
        <v>=RssChartPast(INDIRECT([@ヘッダー行]), [@コード], "D",20160401,3000) =&gt; 完了</v>
      </c>
    </row>
    <row r="371" spans="1:5" x14ac:dyDescent="0.45">
      <c r="A371">
        <f>_400_j_pdf[[#This Row],[コード]]</f>
        <v>9302</v>
      </c>
      <c r="B371" t="str" cm="1">
        <f t="array" ref="B371">_xll.RssMarket(jpx400chart[[#This Row],[コード]],jpx400chart[[#Headers],[銘柄名称]])</f>
        <v>三井倉庫ＨＯＬＤ</v>
      </c>
      <c r="C371" cm="1">
        <f t="array" ref="C371">_xll.RssMarket(jpx400chart[[#This Row],[コード]],jpx400chart[[#Headers],[現在値]])</f>
        <v>3655</v>
      </c>
      <c r="D371" t="str">
        <f>"'[jpx400_data.xlsm]"&amp;jpx400chart[[#This Row],[コード]]&amp;"'!"&amp;"tbl"&amp;jpx400chart[[#This Row],[コード]]&amp;"_[#見出し]"</f>
        <v>'[jpx400_data.xlsm]9302'!tbl9302_[#見出し]</v>
      </c>
      <c r="E371" t="str" cm="1">
        <f t="array" ref="E371">_xll.RssChartPast(INDIRECT(jpx400chart[[#This Row],[ヘッダー行]]), jpx400chart[[#This Row],[コード]], "D",20160401,3000)</f>
        <v>=RssChartPast(INDIRECT([@ヘッダー行]), [@コード], "D",20160401,3000) =&gt; 完了</v>
      </c>
    </row>
    <row r="372" spans="1:5" x14ac:dyDescent="0.45">
      <c r="A372">
        <f>_400_j_pdf[[#This Row],[コード]]</f>
        <v>9418</v>
      </c>
      <c r="B372" t="str" cm="1">
        <f t="array" ref="B372">_xll.RssMarket(jpx400chart[[#This Row],[コード]],jpx400chart[[#Headers],[銘柄名称]])</f>
        <v>Ｕ－ＮＥＸＴＨＯＬＤＩＮＧＳ</v>
      </c>
      <c r="C372" cm="1">
        <f t="array" ref="C372">_xll.RssMarket(jpx400chart[[#This Row],[コード]],jpx400chart[[#Headers],[現在値]])</f>
        <v>1888</v>
      </c>
      <c r="D372" t="str">
        <f>"'[jpx400_data.xlsm]"&amp;jpx400chart[[#This Row],[コード]]&amp;"'!"&amp;"tbl"&amp;jpx400chart[[#This Row],[コード]]&amp;"_[#見出し]"</f>
        <v>'[jpx400_data.xlsm]9418'!tbl9418_[#見出し]</v>
      </c>
      <c r="E372" t="str" cm="1">
        <f t="array" ref="E372">_xll.RssChartPast(INDIRECT(jpx400chart[[#This Row],[ヘッダー行]]), jpx400chart[[#This Row],[コード]], "D",20160401,3000)</f>
        <v>=RssChartPast(INDIRECT([@ヘッダー行]), [@コード], "D",20160401,3000) =&gt; 完了</v>
      </c>
    </row>
    <row r="373" spans="1:5" x14ac:dyDescent="0.45">
      <c r="A373">
        <f>_400_j_pdf[[#This Row],[コード]]</f>
        <v>9432</v>
      </c>
      <c r="B373" t="str" cm="1">
        <f t="array" ref="B373">_xll.RssMarket(jpx400chart[[#This Row],[コード]],jpx400chart[[#Headers],[銘柄名称]])</f>
        <v>ＮＴＴ</v>
      </c>
      <c r="C373" cm="1">
        <f t="array" ref="C373">_xll.RssMarket(jpx400chart[[#This Row],[コード]],jpx400chart[[#Headers],[現在値]])</f>
        <v>155.19999999999999</v>
      </c>
      <c r="D373" t="str">
        <f>"'[jpx400_data.xlsm]"&amp;jpx400chart[[#This Row],[コード]]&amp;"'!"&amp;"tbl"&amp;jpx400chart[[#This Row],[コード]]&amp;"_[#見出し]"</f>
        <v>'[jpx400_data.xlsm]9432'!tbl9432_[#見出し]</v>
      </c>
      <c r="E373" t="str" cm="1">
        <f t="array" ref="E373">_xll.RssChartPast(INDIRECT(jpx400chart[[#This Row],[ヘッダー行]]), jpx400chart[[#This Row],[コード]], "D",20160401,3000)</f>
        <v>=RssChartPast(INDIRECT([@ヘッダー行]), [@コード], "D",20160401,3000) =&gt; 完了</v>
      </c>
    </row>
    <row r="374" spans="1:5" x14ac:dyDescent="0.45">
      <c r="A374">
        <f>_400_j_pdf[[#This Row],[コード]]</f>
        <v>9433</v>
      </c>
      <c r="B374" t="str" cm="1">
        <f t="array" ref="B374">_xll.RssMarket(jpx400chart[[#This Row],[コード]],jpx400chart[[#Headers],[銘柄名称]])</f>
        <v>ＫＤＤＩ</v>
      </c>
      <c r="C374" cm="1">
        <f t="array" ref="C374">_xll.RssMarket(jpx400chart[[#This Row],[コード]],jpx400chart[[#Headers],[現在値]])</f>
        <v>2618.5</v>
      </c>
      <c r="D374" t="str">
        <f>"'[jpx400_data.xlsm]"&amp;jpx400chart[[#This Row],[コード]]&amp;"'!"&amp;"tbl"&amp;jpx400chart[[#This Row],[コード]]&amp;"_[#見出し]"</f>
        <v>'[jpx400_data.xlsm]9433'!tbl9433_[#見出し]</v>
      </c>
      <c r="E374" t="str" cm="1">
        <f t="array" ref="E374">_xll.RssChartPast(INDIRECT(jpx400chart[[#This Row],[ヘッダー行]]), jpx400chart[[#This Row],[コード]], "D",20160401,3000)</f>
        <v>=RssChartPast(INDIRECT([@ヘッダー行]), [@コード], "D",20160401,3000) =&gt; 完了</v>
      </c>
    </row>
    <row r="375" spans="1:5" x14ac:dyDescent="0.45">
      <c r="A375">
        <f>_400_j_pdf[[#This Row],[コード]]</f>
        <v>9434</v>
      </c>
      <c r="B375" t="str" cm="1">
        <f t="array" ref="B375">_xll.RssMarket(jpx400chart[[#This Row],[コード]],jpx400chart[[#Headers],[銘柄名称]])</f>
        <v>ソフトバンク</v>
      </c>
      <c r="C375" cm="1">
        <f t="array" ref="C375">_xll.RssMarket(jpx400chart[[#This Row],[コード]],jpx400chart[[#Headers],[現在値]])</f>
        <v>211.5</v>
      </c>
      <c r="D375" t="str">
        <f>"'[jpx400_data.xlsm]"&amp;jpx400chart[[#This Row],[コード]]&amp;"'!"&amp;"tbl"&amp;jpx400chart[[#This Row],[コード]]&amp;"_[#見出し]"</f>
        <v>'[jpx400_data.xlsm]9434'!tbl9434_[#見出し]</v>
      </c>
      <c r="E375" t="str" cm="1">
        <f t="array" ref="E375">_xll.RssChartPast(INDIRECT(jpx400chart[[#This Row],[ヘッダー行]]), jpx400chart[[#This Row],[コード]], "D",20160401,3000)</f>
        <v>=RssChartPast(INDIRECT([@ヘッダー行]), [@コード], "D",20160401,3000) =&gt; 完了</v>
      </c>
    </row>
    <row r="376" spans="1:5" x14ac:dyDescent="0.45">
      <c r="A376">
        <f>_400_j_pdf[[#This Row],[コード]]</f>
        <v>9435</v>
      </c>
      <c r="B376" t="str" cm="1">
        <f t="array" ref="B376">_xll.RssMarket(jpx400chart[[#This Row],[コード]],jpx400chart[[#Headers],[銘柄名称]])</f>
        <v>光通信</v>
      </c>
      <c r="C376" cm="1">
        <f t="array" ref="C376">_xll.RssMarket(jpx400chart[[#This Row],[コード]],jpx400chart[[#Headers],[現在値]])</f>
        <v>43390</v>
      </c>
      <c r="D376" t="str">
        <f>"'[jpx400_data.xlsm]"&amp;jpx400chart[[#This Row],[コード]]&amp;"'!"&amp;"tbl"&amp;jpx400chart[[#This Row],[コード]]&amp;"_[#見出し]"</f>
        <v>'[jpx400_data.xlsm]9435'!tbl9435_[#見出し]</v>
      </c>
      <c r="E376" t="str" cm="1">
        <f t="array" ref="E376">_xll.RssChartPast(INDIRECT(jpx400chart[[#This Row],[ヘッダー行]]), jpx400chart[[#This Row],[コード]], "D",20160401,3000)</f>
        <v>=RssChartPast(INDIRECT([@ヘッダー行]), [@コード], "D",20160401,3000) =&gt; 完了</v>
      </c>
    </row>
    <row r="377" spans="1:5" x14ac:dyDescent="0.45">
      <c r="A377">
        <f>_400_j_pdf[[#This Row],[コード]]</f>
        <v>9449</v>
      </c>
      <c r="B377" t="str" cm="1">
        <f t="array" ref="B377">_xll.RssMarket(jpx400chart[[#This Row],[コード]],jpx400chart[[#Headers],[銘柄名称]])</f>
        <v>ＧＭＯインターネットグループ</v>
      </c>
      <c r="C377" cm="1">
        <f t="array" ref="C377">_xll.RssMarket(jpx400chart[[#This Row],[コード]],jpx400chart[[#Headers],[現在値]])</f>
        <v>3933</v>
      </c>
      <c r="D377" t="str">
        <f>"'[jpx400_data.xlsm]"&amp;jpx400chart[[#This Row],[コード]]&amp;"'!"&amp;"tbl"&amp;jpx400chart[[#This Row],[コード]]&amp;"_[#見出し]"</f>
        <v>'[jpx400_data.xlsm]9449'!tbl9449_[#見出し]</v>
      </c>
      <c r="E377" t="str" cm="1">
        <f t="array" ref="E377">_xll.RssChartPast(INDIRECT(jpx400chart[[#This Row],[ヘッダー行]]), jpx400chart[[#This Row],[コード]], "D",20160401,3000)</f>
        <v>=RssChartPast(INDIRECT([@ヘッダー行]), [@コード], "D",20160401,3000) =&gt; 完了</v>
      </c>
    </row>
    <row r="378" spans="1:5" x14ac:dyDescent="0.45">
      <c r="A378">
        <f>_400_j_pdf[[#This Row],[コード]]</f>
        <v>9502</v>
      </c>
      <c r="B378" t="str" cm="1">
        <f t="array" ref="B378">_xll.RssMarket(jpx400chart[[#This Row],[コード]],jpx400chart[[#Headers],[銘柄名称]])</f>
        <v>中部電力</v>
      </c>
      <c r="C378" cm="1">
        <f t="array" ref="C378">_xll.RssMarket(jpx400chart[[#This Row],[コード]],jpx400chart[[#Headers],[現在値]])</f>
        <v>2208</v>
      </c>
      <c r="D378" t="str">
        <f>"'[jpx400_data.xlsm]"&amp;jpx400chart[[#This Row],[コード]]&amp;"'!"&amp;"tbl"&amp;jpx400chart[[#This Row],[コード]]&amp;"_[#見出し]"</f>
        <v>'[jpx400_data.xlsm]9502'!tbl9502_[#見出し]</v>
      </c>
      <c r="E378" t="str" cm="1">
        <f t="array" ref="E378">_xll.RssChartPast(INDIRECT(jpx400chart[[#This Row],[ヘッダー行]]), jpx400chart[[#This Row],[コード]], "D",20160401,3000)</f>
        <v>=RssChartPast(INDIRECT([@ヘッダー行]), [@コード], "D",20160401,3000) =&gt; 完了</v>
      </c>
    </row>
    <row r="379" spans="1:5" x14ac:dyDescent="0.45">
      <c r="A379">
        <f>_400_j_pdf[[#This Row],[コード]]</f>
        <v>9503</v>
      </c>
      <c r="B379" t="str" cm="1">
        <f t="array" ref="B379">_xll.RssMarket(jpx400chart[[#This Row],[コード]],jpx400chart[[#Headers],[銘柄名称]])</f>
        <v>関西電力</v>
      </c>
      <c r="C379" cm="1">
        <f t="array" ref="C379">_xll.RssMarket(jpx400chart[[#This Row],[コード]],jpx400chart[[#Headers],[現在値]])</f>
        <v>2446</v>
      </c>
      <c r="D379" t="str">
        <f>"'[jpx400_data.xlsm]"&amp;jpx400chart[[#This Row],[コード]]&amp;"'!"&amp;"tbl"&amp;jpx400chart[[#This Row],[コード]]&amp;"_[#見出し]"</f>
        <v>'[jpx400_data.xlsm]9503'!tbl9503_[#見出し]</v>
      </c>
      <c r="E379" t="str" cm="1">
        <f t="array" ref="E379">_xll.RssChartPast(INDIRECT(jpx400chart[[#This Row],[ヘッダー行]]), jpx400chart[[#This Row],[コード]], "D",20160401,3000)</f>
        <v>=RssChartPast(INDIRECT([@ヘッダー行]), [@コード], "D",20160401,3000) =&gt; 完了</v>
      </c>
    </row>
    <row r="380" spans="1:5" x14ac:dyDescent="0.45">
      <c r="A380">
        <f>_400_j_pdf[[#This Row],[コード]]</f>
        <v>9506</v>
      </c>
      <c r="B380" t="str" cm="1">
        <f t="array" ref="B380">_xll.RssMarket(jpx400chart[[#This Row],[コード]],jpx400chart[[#Headers],[銘柄名称]])</f>
        <v>東北電力</v>
      </c>
      <c r="C380" cm="1">
        <f t="array" ref="C380">_xll.RssMarket(jpx400chart[[#This Row],[コード]],jpx400chart[[#Headers],[現在値]])</f>
        <v>1114</v>
      </c>
      <c r="D380" t="str">
        <f>"'[jpx400_data.xlsm]"&amp;jpx400chart[[#This Row],[コード]]&amp;"'!"&amp;"tbl"&amp;jpx400chart[[#This Row],[コード]]&amp;"_[#見出し]"</f>
        <v>'[jpx400_data.xlsm]9506'!tbl9506_[#見出し]</v>
      </c>
      <c r="E380" t="str" cm="1">
        <f t="array" ref="E380">_xll.RssChartPast(INDIRECT(jpx400chart[[#This Row],[ヘッダー行]]), jpx400chart[[#This Row],[コード]], "D",20160401,3000)</f>
        <v>=RssChartPast(INDIRECT([@ヘッダー行]), [@コード], "D",20160401,3000) =&gt; 完了</v>
      </c>
    </row>
    <row r="381" spans="1:5" x14ac:dyDescent="0.45">
      <c r="A381">
        <f>_400_j_pdf[[#This Row],[コード]]</f>
        <v>9507</v>
      </c>
      <c r="B381" t="str" cm="1">
        <f t="array" ref="B381">_xll.RssMarket(jpx400chart[[#This Row],[コード]],jpx400chart[[#Headers],[銘柄名称]])</f>
        <v>四国電力</v>
      </c>
      <c r="C381" cm="1">
        <f t="array" ref="C381">_xll.RssMarket(jpx400chart[[#This Row],[コード]],jpx400chart[[#Headers],[現在値]])</f>
        <v>1532.5</v>
      </c>
      <c r="D381" t="str">
        <f>"'[jpx400_data.xlsm]"&amp;jpx400chart[[#This Row],[コード]]&amp;"'!"&amp;"tbl"&amp;jpx400chart[[#This Row],[コード]]&amp;"_[#見出し]"</f>
        <v>'[jpx400_data.xlsm]9507'!tbl9507_[#見出し]</v>
      </c>
      <c r="E381" t="str" cm="1">
        <f t="array" ref="E381">_xll.RssChartPast(INDIRECT(jpx400chart[[#This Row],[ヘッダー行]]), jpx400chart[[#This Row],[コード]], "D",20160401,3000)</f>
        <v>=RssChartPast(INDIRECT([@ヘッダー行]), [@コード], "D",20160401,3000) =&gt; 完了</v>
      </c>
    </row>
    <row r="382" spans="1:5" x14ac:dyDescent="0.45">
      <c r="A382">
        <f>_400_j_pdf[[#This Row],[コード]]</f>
        <v>9508</v>
      </c>
      <c r="B382" t="str" cm="1">
        <f t="array" ref="B382">_xll.RssMarket(jpx400chart[[#This Row],[コード]],jpx400chart[[#Headers],[銘柄名称]])</f>
        <v>九州電力</v>
      </c>
      <c r="C382" cm="1">
        <f t="array" ref="C382">_xll.RssMarket(jpx400chart[[#This Row],[コード]],jpx400chart[[#Headers],[現在値]])</f>
        <v>1676.5</v>
      </c>
      <c r="D382" t="str">
        <f>"'[jpx400_data.xlsm]"&amp;jpx400chart[[#This Row],[コード]]&amp;"'!"&amp;"tbl"&amp;jpx400chart[[#This Row],[コード]]&amp;"_[#見出し]"</f>
        <v>'[jpx400_data.xlsm]9508'!tbl9508_[#見出し]</v>
      </c>
      <c r="E382" t="str" cm="1">
        <f t="array" ref="E382">_xll.RssChartPast(INDIRECT(jpx400chart[[#This Row],[ヘッダー行]]), jpx400chart[[#This Row],[コード]], "D",20160401,3000)</f>
        <v>=RssChartPast(INDIRECT([@ヘッダー行]), [@コード], "D",20160401,3000) =&gt; 完了</v>
      </c>
    </row>
    <row r="383" spans="1:5" x14ac:dyDescent="0.45">
      <c r="A383">
        <f>_400_j_pdf[[#This Row],[コード]]</f>
        <v>9509</v>
      </c>
      <c r="B383" t="str" cm="1">
        <f t="array" ref="B383">_xll.RssMarket(jpx400chart[[#This Row],[コード]],jpx400chart[[#Headers],[銘柄名称]])</f>
        <v>北海道電力</v>
      </c>
      <c r="C383" cm="1">
        <f t="array" ref="C383">_xll.RssMarket(jpx400chart[[#This Row],[コード]],jpx400chart[[#Headers],[現在値]])</f>
        <v>1058</v>
      </c>
      <c r="D383" t="str">
        <f>"'[jpx400_data.xlsm]"&amp;jpx400chart[[#This Row],[コード]]&amp;"'!"&amp;"tbl"&amp;jpx400chart[[#This Row],[コード]]&amp;"_[#見出し]"</f>
        <v>'[jpx400_data.xlsm]9509'!tbl9509_[#見出し]</v>
      </c>
      <c r="E383" t="str" cm="1">
        <f t="array" ref="E383">_xll.RssChartPast(INDIRECT(jpx400chart[[#This Row],[ヘッダー行]]), jpx400chart[[#This Row],[コード]], "D",20160401,3000)</f>
        <v>=RssChartPast(INDIRECT([@ヘッダー行]), [@コード], "D",20160401,3000) =&gt; 完了</v>
      </c>
    </row>
    <row r="384" spans="1:5" x14ac:dyDescent="0.45">
      <c r="A384">
        <f>_400_j_pdf[[#This Row],[コード]]</f>
        <v>9513</v>
      </c>
      <c r="B384" t="str" cm="1">
        <f t="array" ref="B384">_xll.RssMarket(jpx400chart[[#This Row],[コード]],jpx400chart[[#Headers],[銘柄名称]])</f>
        <v>電源開発</v>
      </c>
      <c r="C384" cm="1">
        <f t="array" ref="C384">_xll.RssMarket(jpx400chart[[#This Row],[コード]],jpx400chart[[#Headers],[現在値]])</f>
        <v>3257</v>
      </c>
      <c r="D384" t="str">
        <f>"'[jpx400_data.xlsm]"&amp;jpx400chart[[#This Row],[コード]]&amp;"'!"&amp;"tbl"&amp;jpx400chart[[#This Row],[コード]]&amp;"_[#見出し]"</f>
        <v>'[jpx400_data.xlsm]9513'!tbl9513_[#見出し]</v>
      </c>
      <c r="E384" t="str" cm="1">
        <f t="array" ref="E384">_xll.RssChartPast(INDIRECT(jpx400chart[[#This Row],[ヘッダー行]]), jpx400chart[[#This Row],[コード]], "D",20160401,3000)</f>
        <v>=RssChartPast(INDIRECT([@ヘッダー行]), [@コード], "D",20160401,3000) =&gt; 完了</v>
      </c>
    </row>
    <row r="385" spans="1:5" x14ac:dyDescent="0.45">
      <c r="A385">
        <f>_400_j_pdf[[#This Row],[コード]]</f>
        <v>9531</v>
      </c>
      <c r="B385" t="str" cm="1">
        <f t="array" ref="B385">_xll.RssMarket(jpx400chart[[#This Row],[コード]],jpx400chart[[#Headers],[銘柄名称]])</f>
        <v>東京瓦斯</v>
      </c>
      <c r="C385" cm="1">
        <f t="array" ref="C385">_xll.RssMarket(jpx400chart[[#This Row],[コード]],jpx400chart[[#Headers],[現在値]])</f>
        <v>6584</v>
      </c>
      <c r="D385" t="str">
        <f>"'[jpx400_data.xlsm]"&amp;jpx400chart[[#This Row],[コード]]&amp;"'!"&amp;"tbl"&amp;jpx400chart[[#This Row],[コード]]&amp;"_[#見出し]"</f>
        <v>'[jpx400_data.xlsm]9531'!tbl9531_[#見出し]</v>
      </c>
      <c r="E385" t="str" cm="1">
        <f t="array" ref="E385">_xll.RssChartPast(INDIRECT(jpx400chart[[#This Row],[ヘッダー行]]), jpx400chart[[#This Row],[コード]], "D",20160401,3000)</f>
        <v>=RssChartPast(INDIRECT([@ヘッダー行]), [@コード], "D",20160401,3000) =&gt; 完了</v>
      </c>
    </row>
    <row r="386" spans="1:5" x14ac:dyDescent="0.45">
      <c r="A386">
        <f>_400_j_pdf[[#This Row],[コード]]</f>
        <v>9532</v>
      </c>
      <c r="B386" t="str" cm="1">
        <f t="array" ref="B386">_xll.RssMarket(jpx400chart[[#This Row],[コード]],jpx400chart[[#Headers],[銘柄名称]])</f>
        <v>大阪瓦斯</v>
      </c>
      <c r="C386" cm="1">
        <f t="array" ref="C386">_xll.RssMarket(jpx400chart[[#This Row],[コード]],jpx400chart[[#Headers],[現在値]])</f>
        <v>5732</v>
      </c>
      <c r="D386" t="str">
        <f>"'[jpx400_data.xlsm]"&amp;jpx400chart[[#This Row],[コード]]&amp;"'!"&amp;"tbl"&amp;jpx400chart[[#This Row],[コード]]&amp;"_[#見出し]"</f>
        <v>'[jpx400_data.xlsm]9532'!tbl9532_[#見出し]</v>
      </c>
      <c r="E386" t="str" cm="1">
        <f t="array" ref="E386">_xll.RssChartPast(INDIRECT(jpx400chart[[#This Row],[ヘッダー行]]), jpx400chart[[#This Row],[コード]], "D",20160401,3000)</f>
        <v>=RssChartPast(INDIRECT([@ヘッダー行]), [@コード], "D",20160401,3000) =&gt; 完了</v>
      </c>
    </row>
    <row r="387" spans="1:5" x14ac:dyDescent="0.45">
      <c r="A387">
        <f>_400_j_pdf[[#This Row],[コード]]</f>
        <v>9602</v>
      </c>
      <c r="B387" t="str" cm="1">
        <f t="array" ref="B387">_xll.RssMarket(jpx400chart[[#This Row],[コード]],jpx400chart[[#Headers],[銘柄名称]])</f>
        <v>東宝</v>
      </c>
      <c r="C387" cm="1">
        <f t="array" ref="C387">_xll.RssMarket(jpx400chart[[#This Row],[コード]],jpx400chart[[#Headers],[現在値]])</f>
        <v>7975</v>
      </c>
      <c r="D387" t="str">
        <f>"'[jpx400_data.xlsm]"&amp;jpx400chart[[#This Row],[コード]]&amp;"'!"&amp;"tbl"&amp;jpx400chart[[#This Row],[コード]]&amp;"_[#見出し]"</f>
        <v>'[jpx400_data.xlsm]9602'!tbl9602_[#見出し]</v>
      </c>
      <c r="E387" t="str" cm="1">
        <f t="array" ref="E387">_xll.RssChartPast(INDIRECT(jpx400chart[[#This Row],[ヘッダー行]]), jpx400chart[[#This Row],[コード]], "D",20160401,3000)</f>
        <v>=RssChartPast(INDIRECT([@ヘッダー行]), [@コード], "D",20160401,3000) =&gt; 完了</v>
      </c>
    </row>
    <row r="388" spans="1:5" x14ac:dyDescent="0.45">
      <c r="A388">
        <f>_400_j_pdf[[#This Row],[コード]]</f>
        <v>9684</v>
      </c>
      <c r="B388" t="str" cm="1">
        <f t="array" ref="B388">_xll.RssMarket(jpx400chart[[#This Row],[コード]],jpx400chart[[#Headers],[銘柄名称]])</f>
        <v>スクウェア・エニックス・ＨＤ</v>
      </c>
      <c r="C388" cm="1">
        <f t="array" ref="C388">_xll.RssMarket(jpx400chart[[#This Row],[コード]],jpx400chart[[#Headers],[現在値]])</f>
        <v>2725</v>
      </c>
      <c r="D388" t="str">
        <f>"'[jpx400_data.xlsm]"&amp;jpx400chart[[#This Row],[コード]]&amp;"'!"&amp;"tbl"&amp;jpx400chart[[#This Row],[コード]]&amp;"_[#見出し]"</f>
        <v>'[jpx400_data.xlsm]9684'!tbl9684_[#見出し]</v>
      </c>
      <c r="E388" t="str" cm="1">
        <f t="array" ref="E388">_xll.RssChartPast(INDIRECT(jpx400chart[[#This Row],[ヘッダー行]]), jpx400chart[[#This Row],[コード]], "D",20160401,3000)</f>
        <v>=RssChartPast(INDIRECT([@ヘッダー行]), [@コード], "D",20160401,3000) =&gt; 完了</v>
      </c>
    </row>
    <row r="389" spans="1:5" x14ac:dyDescent="0.45">
      <c r="A389">
        <f>_400_j_pdf[[#This Row],[コード]]</f>
        <v>9697</v>
      </c>
      <c r="B389" t="str" cm="1">
        <f t="array" ref="B389">_xll.RssMarket(jpx400chart[[#This Row],[コード]],jpx400chart[[#Headers],[銘柄名称]])</f>
        <v>カプコン</v>
      </c>
      <c r="C389" cm="1">
        <f t="array" ref="C389">_xll.RssMarket(jpx400chart[[#This Row],[コード]],jpx400chart[[#Headers],[現在値]])</f>
        <v>3555</v>
      </c>
      <c r="D389" t="str">
        <f>"'[jpx400_data.xlsm]"&amp;jpx400chart[[#This Row],[コード]]&amp;"'!"&amp;"tbl"&amp;jpx400chart[[#This Row],[コード]]&amp;"_[#見出し]"</f>
        <v>'[jpx400_data.xlsm]9697'!tbl9697_[#見出し]</v>
      </c>
      <c r="E389" t="str" cm="1">
        <f t="array" ref="E389">_xll.RssChartPast(INDIRECT(jpx400chart[[#This Row],[ヘッダー行]]), jpx400chart[[#This Row],[コード]], "D",20160401,3000)</f>
        <v>=RssChartPast(INDIRECT([@ヘッダー行]), [@コード], "D",20160401,3000) =&gt; 完了</v>
      </c>
    </row>
    <row r="390" spans="1:5" x14ac:dyDescent="0.45">
      <c r="A390">
        <f>_400_j_pdf[[#This Row],[コード]]</f>
        <v>9719</v>
      </c>
      <c r="B390" t="str" cm="1">
        <f t="array" ref="B390">_xll.RssMarket(jpx400chart[[#This Row],[コード]],jpx400chart[[#Headers],[銘柄名称]])</f>
        <v>ＳＣＳＫ</v>
      </c>
      <c r="C390" cm="1">
        <f t="array" ref="C390">_xll.RssMarket(jpx400chart[[#This Row],[コード]],jpx400chart[[#Headers],[現在値]])</f>
        <v>5659</v>
      </c>
      <c r="D390" t="str">
        <f>"'[jpx400_data.xlsm]"&amp;jpx400chart[[#This Row],[コード]]&amp;"'!"&amp;"tbl"&amp;jpx400chart[[#This Row],[コード]]&amp;"_[#見出し]"</f>
        <v>'[jpx400_data.xlsm]9719'!tbl9719_[#見出し]</v>
      </c>
      <c r="E390" t="str" cm="1">
        <f t="array" ref="E390">_xll.RssChartPast(INDIRECT(jpx400chart[[#This Row],[ヘッダー行]]), jpx400chart[[#This Row],[コード]], "D",20160401,3000)</f>
        <v>=RssChartPast(INDIRECT([@ヘッダー行]), [@コード], "D",20160401,3000) =&gt; 完了</v>
      </c>
    </row>
    <row r="391" spans="1:5" x14ac:dyDescent="0.45">
      <c r="A391">
        <f>_400_j_pdf[[#This Row],[コード]]</f>
        <v>9735</v>
      </c>
      <c r="B391" t="str" cm="1">
        <f t="array" ref="B391">_xll.RssMarket(jpx400chart[[#This Row],[コード]],jpx400chart[[#Headers],[銘柄名称]])</f>
        <v>セコム</v>
      </c>
      <c r="C391" cm="1">
        <f t="array" ref="C391">_xll.RssMarket(jpx400chart[[#This Row],[コード]],jpx400chart[[#Headers],[現在値]])</f>
        <v>5775</v>
      </c>
      <c r="D391" t="str">
        <f>"'[jpx400_data.xlsm]"&amp;jpx400chart[[#This Row],[コード]]&amp;"'!"&amp;"tbl"&amp;jpx400chart[[#This Row],[コード]]&amp;"_[#見出し]"</f>
        <v>'[jpx400_data.xlsm]9735'!tbl9735_[#見出し]</v>
      </c>
      <c r="E391" t="str" cm="1">
        <f t="array" ref="E391">_xll.RssChartPast(INDIRECT(jpx400chart[[#This Row],[ヘッダー行]]), jpx400chart[[#This Row],[コード]], "D",20160401,3000)</f>
        <v>=RssChartPast(INDIRECT([@ヘッダー行]), [@コード], "D",20160401,3000) =&gt; 完了</v>
      </c>
    </row>
    <row r="392" spans="1:5" x14ac:dyDescent="0.45">
      <c r="A392">
        <f>_400_j_pdf[[#This Row],[コード]]</f>
        <v>9744</v>
      </c>
      <c r="B392" t="str" cm="1">
        <f t="array" ref="B392">_xll.RssMarket(jpx400chart[[#This Row],[コード]],jpx400chart[[#Headers],[銘柄名称]])</f>
        <v>メイテックグループホールデ</v>
      </c>
      <c r="C392" cm="1">
        <f t="array" ref="C392">_xll.RssMarket(jpx400chart[[#This Row],[コード]],jpx400chart[[#Headers],[現在値]])</f>
        <v>3612</v>
      </c>
      <c r="D392" t="str">
        <f>"'[jpx400_data.xlsm]"&amp;jpx400chart[[#This Row],[コード]]&amp;"'!"&amp;"tbl"&amp;jpx400chart[[#This Row],[コード]]&amp;"_[#見出し]"</f>
        <v>'[jpx400_data.xlsm]9744'!tbl9744_[#見出し]</v>
      </c>
      <c r="E392" t="str" cm="1">
        <f t="array" ref="E392">_xll.RssChartPast(INDIRECT(jpx400chart[[#This Row],[ヘッダー行]]), jpx400chart[[#This Row],[コード]], "D",20160401,3000)</f>
        <v>=RssChartPast(INDIRECT([@ヘッダー行]), [@コード], "D",20160401,3000) =&gt; 完了</v>
      </c>
    </row>
    <row r="393" spans="1:5" x14ac:dyDescent="0.45">
      <c r="A393">
        <f>_400_j_pdf[[#This Row],[コード]]</f>
        <v>9759</v>
      </c>
      <c r="B393" t="str" cm="1">
        <f t="array" ref="B393">_xll.RssMarket(jpx400chart[[#This Row],[コード]],jpx400chart[[#Headers],[銘柄名称]])</f>
        <v>ＮＳＤ</v>
      </c>
      <c r="C393" cm="1">
        <f t="array" ref="C393">_xll.RssMarket(jpx400chart[[#This Row],[コード]],jpx400chart[[#Headers],[現在値]])</f>
        <v>3352</v>
      </c>
      <c r="D393" t="str">
        <f>"'[jpx400_data.xlsm]"&amp;jpx400chart[[#This Row],[コード]]&amp;"'!"&amp;"tbl"&amp;jpx400chart[[#This Row],[コード]]&amp;"_[#見出し]"</f>
        <v>'[jpx400_data.xlsm]9759'!tbl9759_[#見出し]</v>
      </c>
      <c r="E393" t="str" cm="1">
        <f t="array" ref="E393">_xll.RssChartPast(INDIRECT(jpx400chart[[#This Row],[ヘッダー行]]), jpx400chart[[#This Row],[コード]], "D",20160401,3000)</f>
        <v>=RssChartPast(INDIRECT([@ヘッダー行]), [@コード], "D",20160401,3000) =&gt; 完了</v>
      </c>
    </row>
    <row r="394" spans="1:5" x14ac:dyDescent="0.45">
      <c r="A394">
        <f>_400_j_pdf[[#This Row],[コード]]</f>
        <v>9766</v>
      </c>
      <c r="B394" t="str" cm="1">
        <f t="array" ref="B394">_xll.RssMarket(jpx400chart[[#This Row],[コード]],jpx400chart[[#Headers],[銘柄名称]])</f>
        <v>コナミグループ</v>
      </c>
      <c r="C394" cm="1">
        <f t="array" ref="C394">_xll.RssMarket(jpx400chart[[#This Row],[コード]],jpx400chart[[#Headers],[現在値]])</f>
        <v>20910</v>
      </c>
      <c r="D394" t="str">
        <f>"'[jpx400_data.xlsm]"&amp;jpx400chart[[#This Row],[コード]]&amp;"'!"&amp;"tbl"&amp;jpx400chart[[#This Row],[コード]]&amp;"_[#見出し]"</f>
        <v>'[jpx400_data.xlsm]9766'!tbl9766_[#見出し]</v>
      </c>
      <c r="E394" t="str" cm="1">
        <f t="array" ref="E394">_xll.RssChartPast(INDIRECT(jpx400chart[[#This Row],[ヘッダー行]]), jpx400chart[[#This Row],[コード]], "D",20160401,3000)</f>
        <v>=RssChartPast(INDIRECT([@ヘッダー行]), [@コード], "D",20160401,3000) =&gt; 完了</v>
      </c>
    </row>
    <row r="395" spans="1:5" x14ac:dyDescent="0.45">
      <c r="A395">
        <f>_400_j_pdf[[#This Row],[コード]]</f>
        <v>9843</v>
      </c>
      <c r="B395" t="str" cm="1">
        <f t="array" ref="B395">_xll.RssMarket(jpx400chart[[#This Row],[コード]],jpx400chart[[#Headers],[銘柄名称]])</f>
        <v>ニトリホールディングス</v>
      </c>
      <c r="C395" cm="1">
        <f t="array" ref="C395">_xll.RssMarket(jpx400chart[[#This Row],[コード]],jpx400chart[[#Headers],[現在値]])</f>
        <v>2679</v>
      </c>
      <c r="D395" t="str">
        <f>"'[jpx400_data.xlsm]"&amp;jpx400chart[[#This Row],[コード]]&amp;"'!"&amp;"tbl"&amp;jpx400chart[[#This Row],[コード]]&amp;"_[#見出し]"</f>
        <v>'[jpx400_data.xlsm]9843'!tbl9843_[#見出し]</v>
      </c>
      <c r="E395" t="str" cm="1">
        <f t="array" ref="E395">_xll.RssChartPast(INDIRECT(jpx400chart[[#This Row],[ヘッダー行]]), jpx400chart[[#This Row],[コード]], "D",20160401,3000)</f>
        <v>=RssChartPast(INDIRECT([@ヘッダー行]), [@コード], "D",20160401,3000) =&gt; 完了</v>
      </c>
    </row>
    <row r="396" spans="1:5" x14ac:dyDescent="0.45">
      <c r="A396">
        <f>_400_j_pdf[[#This Row],[コード]]</f>
        <v>9962</v>
      </c>
      <c r="B396" t="str" cm="1">
        <f t="array" ref="B396">_xll.RssMarket(jpx400chart[[#This Row],[コード]],jpx400chart[[#Headers],[銘柄名称]])</f>
        <v>ミスミグループ本社</v>
      </c>
      <c r="C396" cm="1">
        <f t="array" ref="C396">_xll.RssMarket(jpx400chart[[#This Row],[コード]],jpx400chart[[#Headers],[現在値]])</f>
        <v>2551</v>
      </c>
      <c r="D396" t="str">
        <f>"'[jpx400_data.xlsm]"&amp;jpx400chart[[#This Row],[コード]]&amp;"'!"&amp;"tbl"&amp;jpx400chart[[#This Row],[コード]]&amp;"_[#見出し]"</f>
        <v>'[jpx400_data.xlsm]9962'!tbl9962_[#見出し]</v>
      </c>
      <c r="E396" t="str" cm="1">
        <f t="array" ref="E396">_xll.RssChartPast(INDIRECT(jpx400chart[[#This Row],[ヘッダー行]]), jpx400chart[[#This Row],[コード]], "D",20160401,3000)</f>
        <v>=RssChartPast(INDIRECT([@ヘッダー行]), [@コード], "D",20160401,3000) =&gt; 完了</v>
      </c>
    </row>
    <row r="397" spans="1:5" x14ac:dyDescent="0.45">
      <c r="A397">
        <f>_400_j_pdf[[#This Row],[コード]]</f>
        <v>9983</v>
      </c>
      <c r="B397" t="str" cm="1">
        <f t="array" ref="B397">_xll.RssMarket(jpx400chart[[#This Row],[コード]],jpx400chart[[#Headers],[銘柄名称]])</f>
        <v>ファーストリテイリング</v>
      </c>
      <c r="C397" cm="1">
        <f t="array" ref="C397">_xll.RssMarket(jpx400chart[[#This Row],[コード]],jpx400chart[[#Headers],[現在値]])</f>
        <v>59170</v>
      </c>
      <c r="D397" t="str">
        <f>"'[jpx400_data.xlsm]"&amp;jpx400chart[[#This Row],[コード]]&amp;"'!"&amp;"tbl"&amp;jpx400chart[[#This Row],[コード]]&amp;"_[#見出し]"</f>
        <v>'[jpx400_data.xlsm]9983'!tbl9983_[#見出し]</v>
      </c>
      <c r="E397" t="str" cm="1">
        <f t="array" ref="E397">_xll.RssChartPast(INDIRECT(jpx400chart[[#This Row],[ヘッダー行]]), jpx400chart[[#This Row],[コード]], "D",20160401,3000)</f>
        <v>=RssChartPast(INDIRECT([@ヘッダー行]), [@コード], "D",20160401,3000) =&gt; 完了</v>
      </c>
    </row>
    <row r="398" spans="1:5" x14ac:dyDescent="0.45">
      <c r="A398">
        <f>_400_j_pdf[[#This Row],[コード]]</f>
        <v>9984</v>
      </c>
      <c r="B398" t="str" cm="1">
        <f t="array" ref="B398">_xll.RssMarket(jpx400chart[[#This Row],[コード]],jpx400chart[[#Headers],[銘柄名称]])</f>
        <v>ソフトバンクグループ</v>
      </c>
      <c r="C398" cm="1">
        <f t="array" ref="C398">_xll.RssMarket(jpx400chart[[#This Row],[コード]],jpx400chart[[#Headers],[現在値]])</f>
        <v>4051</v>
      </c>
      <c r="D398" t="str">
        <f>"'[jpx400_data.xlsm]"&amp;jpx400chart[[#This Row],[コード]]&amp;"'!"&amp;"tbl"&amp;jpx400chart[[#This Row],[コード]]&amp;"_[#見出し]"</f>
        <v>'[jpx400_data.xlsm]9984'!tbl9984_[#見出し]</v>
      </c>
      <c r="E398" t="str" cm="1">
        <f t="array" ref="E398">_xll.RssChartPast(INDIRECT(jpx400chart[[#This Row],[ヘッダー行]]), jpx400chart[[#This Row],[コード]], "D",20160401,3000)</f>
        <v>=RssChartPast(INDIRECT([@ヘッダー行]), [@コード], "D",20160401,3000) =&gt; 完了</v>
      </c>
    </row>
    <row r="399" spans="1:5" x14ac:dyDescent="0.45">
      <c r="A399">
        <f>_400_j_pdf[[#This Row],[コード]]</f>
        <v>9989</v>
      </c>
      <c r="B399" t="str" cm="1">
        <f t="array" ref="B399">_xll.RssMarket(jpx400chart[[#This Row],[コード]],jpx400chart[[#Headers],[銘柄名称]])</f>
        <v>サンドラッグ</v>
      </c>
      <c r="C399" cm="1">
        <f t="array" ref="C399">_xll.RssMarket(jpx400chart[[#This Row],[コード]],jpx400chart[[#Headers],[現在値]])</f>
        <v>4183</v>
      </c>
      <c r="D399" t="str">
        <f>"'[jpx400_data.xlsm]"&amp;jpx400chart[[#This Row],[コード]]&amp;"'!"&amp;"tbl"&amp;jpx400chart[[#This Row],[コード]]&amp;"_[#見出し]"</f>
        <v>'[jpx400_data.xlsm]9989'!tbl9989_[#見出し]</v>
      </c>
      <c r="E399" t="str" cm="1">
        <f t="array" ref="E399">_xll.RssChartPast(INDIRECT(jpx400chart[[#This Row],[ヘッダー行]]), jpx400chart[[#This Row],[コード]], "D",20160401,3000)</f>
        <v>=RssChartPast(INDIRECT([@ヘッダー行]), [@コード], "D",20160401,3000) =&gt; 完了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0B96C-61AA-4A6E-A6E9-18DC02B56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400_j_pdf</vt:lpstr>
      <vt:lpstr>JPX日経400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 鈴木</dc:creator>
  <cp:lastModifiedBy>航 鈴木</cp:lastModifiedBy>
  <dcterms:created xsi:type="dcterms:W3CDTF">2026-01-25T04:13:11Z</dcterms:created>
  <dcterms:modified xsi:type="dcterms:W3CDTF">2026-01-27T16:52:29Z</dcterms:modified>
</cp:coreProperties>
</file>